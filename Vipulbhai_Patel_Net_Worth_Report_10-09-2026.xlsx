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 Worth Summary" sheetId="1" state="visible" r:id="rId1"/>
    <sheet name="Net Worth Calculation" sheetId="2" state="visible" r:id="rId2"/>
    <sheet name="Assets Detail" sheetId="3" state="visible" r:id="rId3"/>
    <sheet name="Liabilities Detail" sheetId="4" state="visible" r:id="rId4"/>
    <sheet name="Balance Sheet (Source)" sheetId="5" state="visible" r:id="rId5"/>
    <sheet name="Notes &amp; Method" sheetId="6" state="visible" r:id="rId6"/>
  </sheets>
  <definedNames>
    <definedName name="_xlnm.Print_Titles" localSheetId="0">'Net Worth Summary'!$1:$9</definedName>
    <definedName name="_xlnm.Print_Titles" localSheetId="1">'Net Worth Calculation'!$1:$4</definedName>
    <definedName name="_xlnm._FilterDatabase" localSheetId="2" hidden="1">'Assets Detail'!$A$4:$F$52</definedName>
    <definedName name="_xlnm.Print_Titles" localSheetId="2">'Assets Detail'!$1:$4</definedName>
    <definedName name="_xlnm._FilterDatabase" localSheetId="3" hidden="1">'Liabilities Detail'!$A$4:$F$40</definedName>
    <definedName name="_xlnm.Print_Titles" localSheetId="3">'Liabilities Detail'!$1:$4</definedName>
    <definedName name="_xlnm.Print_Titles" localSheetId="4">'Balance Sheet (Source)'!$1:$4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&quot;₹ &quot;#,##,##0.00"/>
    <numFmt numFmtId="165" formatCode="0.0%"/>
    <numFmt numFmtId="166" formatCode="0.00&quot;x&quot;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1F2933"/>
      <sz val="10"/>
    </font>
    <font>
      <name val="Calibri"/>
      <color rgb="001F2933"/>
      <sz val="10"/>
    </font>
    <font>
      <name val="Calibri"/>
      <i val="1"/>
      <color rgb="005A6B7B"/>
      <sz val="9"/>
    </font>
    <font>
      <name val="Calibri"/>
      <b val="1"/>
      <color rgb="001F2933"/>
      <sz val="9"/>
    </font>
    <font>
      <name val="Calibri"/>
      <b val="1"/>
      <color rgb="000F6B78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5A6B7B"/>
      <sz val="9"/>
    </font>
    <font>
      <name val="Calibri"/>
      <b val="1"/>
      <color rgb="001F3864"/>
      <sz val="11"/>
    </font>
    <font>
      <name val="Calibri"/>
      <color rgb="001F2933"/>
      <sz val="9"/>
    </font>
    <font>
      <name val="Calibri"/>
      <i val="1"/>
      <color rgb="001F2933"/>
      <sz val="9"/>
    </font>
    <font>
      <name val="Calibri"/>
      <b val="1"/>
      <color rgb="00FFFFFF"/>
      <sz val="14"/>
    </font>
    <font>
      <name val="Calibri"/>
      <color rgb="005A6B7B"/>
      <sz val="10"/>
    </font>
    <font>
      <name val="Calibri"/>
      <b val="1"/>
      <color rgb="001F3864"/>
      <sz val="12"/>
    </font>
    <font>
      <name val="Calibri"/>
      <b val="1"/>
      <color rgb="001E6B3A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0F6B78"/>
      </patternFill>
    </fill>
    <fill>
      <patternFill patternType="solid">
        <fgColor rgb="00FFFFFF"/>
      </patternFill>
    </fill>
    <fill>
      <patternFill patternType="solid">
        <fgColor rgb="00F4F6F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AF1F8"/>
      </patternFill>
    </fill>
  </fills>
  <borders count="6">
    <border>
      <left/>
      <right/>
      <top/>
      <bottom/>
      <diagonal/>
    </border>
    <border>
      <left style="thin">
        <color rgb="00D5DCE5"/>
      </left>
      <right style="thin">
        <color rgb="00D5DCE5"/>
      </right>
      <top style="thin">
        <color rgb="00D5DCE5"/>
      </top>
      <bottom style="thin">
        <color rgb="00D5DCE5"/>
      </bottom>
    </border>
    <border>
      <left/>
      <right/>
      <top style="thin">
        <color rgb="00D5DCE5"/>
      </top>
      <bottom/>
      <diagonal/>
    </border>
    <border>
      <left/>
      <right style="thin">
        <color rgb="00D5DCE5"/>
      </right>
      <top style="thin">
        <color rgb="00D5DCE5"/>
      </top>
      <bottom/>
      <diagonal/>
    </border>
    <border>
      <left/>
      <right/>
      <top style="thin">
        <color rgb="00D5DCE5"/>
      </top>
      <bottom style="thin">
        <color rgb="00D5DCE5"/>
      </bottom>
      <diagonal/>
    </border>
    <border>
      <left/>
      <right style="thin">
        <color rgb="00D5DCE5"/>
      </right>
      <top style="thin">
        <color rgb="00D5DCE5"/>
      </top>
      <bottom style="thin">
        <color rgb="00D5DCE5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4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164" fontId="13" fillId="0" borderId="1" applyAlignment="1" pivotButton="0" quotePrefix="0" xfId="0">
      <alignment horizontal="right" vertical="center"/>
    </xf>
    <xf numFmtId="0" fontId="8" fillId="3" borderId="0" applyAlignment="1" pivotButton="0" quotePrefix="0" xfId="0">
      <alignment horizontal="left" vertical="center"/>
    </xf>
    <xf numFmtId="1" fontId="4" fillId="0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right" vertical="center"/>
    </xf>
    <xf numFmtId="165" fontId="3" fillId="7" borderId="1" applyAlignment="1" pivotButton="0" quotePrefix="0" xfId="0">
      <alignment horizontal="right" vertical="center"/>
    </xf>
    <xf numFmtId="1" fontId="3" fillId="7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6" fillId="6" borderId="1" applyAlignment="1" pivotButton="0" quotePrefix="0" xfId="0">
      <alignment horizontal="left" vertical="center"/>
    </xf>
    <xf numFmtId="164" fontId="16" fillId="6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/>
    </xf>
    <xf numFmtId="164" fontId="12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165" fontId="12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164" fontId="6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left" vertical="center"/>
    </xf>
    <xf numFmtId="164" fontId="9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Asset Mix by Category</a:t>
            </a:r>
          </a:p>
        </rich>
      </tx>
    </title>
    <plotArea>
      <pieChart>
        <varyColors val="1"/>
        <ser>
          <idx val="0"/>
          <order val="0"/>
          <tx>
            <strRef>
              <f>'Net Worth Summary'!B16</f>
            </strRef>
          </tx>
          <spPr>
            <a:ln>
              <a:prstDash val="solid"/>
            </a:ln>
          </spPr>
          <cat>
            <numRef>
              <f>'Net Worth Summary'!$A$17:$A$24</f>
            </numRef>
          </cat>
          <val>
            <numRef>
              <f>'Net Worth Summary'!$B$17:$B$24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Liability Mix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'Net Worth Summary'!B28</f>
            </strRef>
          </tx>
          <spPr>
            <a:ln>
              <a:prstDash val="solid"/>
            </a:ln>
          </spPr>
          <cat>
            <numRef>
              <f>'Net Worth Summary'!$A$29:$A$34</f>
            </numRef>
          </cat>
          <val>
            <numRef>
              <f>'Net Worth Summary'!$B$29:$B$34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Assets vs Liabilities vs Net Worth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'Net Worth Summary'!B9</f>
            </strRef>
          </tx>
          <spPr>
            <a:ln>
              <a:prstDash val="solid"/>
            </a:ln>
          </spPr>
          <cat>
            <numRef>
              <f>'Net Worth Summary'!$A$10:$A$12</f>
            </numRef>
          </cat>
          <val>
            <numRef>
              <f>'Net Worth Summary'!$B$10:$B$12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8</row>
      <rowOff>0</rowOff>
    </from>
    <ext cx="5220000" cy="309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26</row>
      <rowOff>0</rowOff>
    </from>
    <ext cx="5220000" cy="3096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44</row>
      <rowOff>0</rowOff>
    </from>
    <ext cx="5220000" cy="3096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F5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34" customHeight="1">
      <c r="A1" s="1" t="inlineStr">
        <is>
          <t>NET WORTH REPORT</t>
        </is>
      </c>
      <c r="B1" s="2" t="n"/>
      <c r="C1" s="2" t="n"/>
      <c r="D1" s="2" t="n"/>
    </row>
    <row r="2" ht="24" customHeight="1">
      <c r="A2" s="3" t="inlineStr">
        <is>
          <t>VIPULBHAI LALJIBHAI PATEL</t>
        </is>
      </c>
      <c r="B2" s="4" t="n"/>
      <c r="C2" s="4" t="n"/>
      <c r="D2" s="4" t="n"/>
    </row>
    <row r="3">
      <c r="A3" s="5" t="inlineStr">
        <is>
          <t>As on</t>
        </is>
      </c>
      <c r="B3" s="6" t="inlineStr">
        <is>
          <t>10/09/2026</t>
        </is>
      </c>
      <c r="C3" s="5" t="inlineStr">
        <is>
          <t>Currency</t>
        </is>
      </c>
      <c r="D3" s="6" t="inlineStr">
        <is>
          <t>INR (₹) — Indian Rupees</t>
        </is>
      </c>
    </row>
    <row r="4">
      <c r="A4" s="5" t="inlineStr">
        <is>
          <t>Prepared from</t>
        </is>
      </c>
      <c r="B4" s="6" t="inlineStr">
        <is>
          <t>Vipulbhai BALANCESHEET_1-23102026161349.PDF (2 pages, 84 account lines)</t>
        </is>
      </c>
      <c r="C4" s="7" t="n"/>
      <c r="D4" s="7" t="n"/>
    </row>
    <row r="5">
      <c r="A5" s="8" t="inlineStr">
        <is>
          <t>Balance Sheet total on both sides: ₹ 7,39,01,963.50  |  All amounts are book values as per the source, not market valuations.</t>
        </is>
      </c>
      <c r="B5" s="7" t="n"/>
      <c r="C5" s="7" t="n"/>
      <c r="D5" s="7" t="n"/>
      <c r="E5" s="7" t="n"/>
      <c r="F5" s="7" t="n"/>
    </row>
    <row r="6" ht="18" customHeight="1">
      <c r="A6" s="9" t="inlineStr">
        <is>
          <t>Jump to:</t>
        </is>
      </c>
      <c r="B6" s="10" t="inlineStr">
        <is>
          <t>Calculation</t>
        </is>
      </c>
      <c r="C6" s="10" t="inlineStr">
        <is>
          <t>Assets Detail</t>
        </is>
      </c>
      <c r="D6" s="10" t="inlineStr">
        <is>
          <t>Liabilities Detail</t>
        </is>
      </c>
      <c r="E6" s="10" t="inlineStr">
        <is>
          <t>Source B/S</t>
        </is>
      </c>
      <c r="F6" s="10" t="inlineStr">
        <is>
          <t>Notes &amp; Method</t>
        </is>
      </c>
    </row>
    <row r="8" ht="22" customHeight="1">
      <c r="A8" s="11" t="inlineStr">
        <is>
          <t>HEADLINE FIGURES</t>
        </is>
      </c>
      <c r="B8" s="2" t="n"/>
      <c r="C8" s="2" t="n"/>
      <c r="D8" s="2" t="n"/>
    </row>
    <row r="9" ht="28" customHeight="1">
      <c r="A9" s="12" t="inlineStr">
        <is>
          <t>Particulars</t>
        </is>
      </c>
      <c r="B9" s="12" t="inlineStr">
        <is>
          <t>Amount (₹)</t>
        </is>
      </c>
      <c r="C9" s="12" t="inlineStr">
        <is>
          <t>% of Assets</t>
        </is>
      </c>
      <c r="D9" s="12" t="inlineStr">
        <is>
          <t>Basis</t>
        </is>
      </c>
    </row>
    <row r="10" ht="20" customHeight="1">
      <c r="A10" s="13" t="inlineStr">
        <is>
          <t>Total Assets</t>
        </is>
      </c>
      <c r="B10" s="14">
        <f>'Assets Detail'!D53</f>
        <v>73901963.5</v>
      </c>
      <c r="C10" s="15">
        <f>B10/$B$10</f>
        <v>1</v>
      </c>
      <c r="D10" s="16" t="inlineStr">
        <is>
          <t>Asset side of the Balance Sheet</t>
        </is>
      </c>
    </row>
    <row r="11" ht="20" customHeight="1">
      <c r="A11" s="13" t="inlineStr">
        <is>
          <t>Total External Liabilities</t>
        </is>
      </c>
      <c r="B11" s="14">
        <f>'Liabilities Detail'!E42</f>
        <v>60851626.1799999997</v>
      </c>
      <c r="C11" s="15">
        <f>B11/$B$10</f>
        <v>0.8234101409</v>
      </c>
      <c r="D11" s="16" t="inlineStr">
        <is>
          <t>Liabilities side, excluding equity</t>
        </is>
      </c>
    </row>
    <row r="12" ht="24" customHeight="1">
      <c r="A12" s="17" t="inlineStr">
        <is>
          <t>NET WORTH  (Assets − Liabilities)</t>
        </is>
      </c>
      <c r="B12" s="18">
        <f>B10-B11</f>
        <v>13050337.3200000003</v>
      </c>
      <c r="C12" s="19">
        <f>B12/$B$10</f>
        <v>0.1765898591</v>
      </c>
      <c r="D12" s="20" t="inlineStr">
        <is>
          <t>Owner's equity</t>
        </is>
      </c>
    </row>
    <row r="13" ht="20" customHeight="1">
      <c r="A13" s="13" t="inlineStr">
        <is>
          <t>Check: Assets − Liabilities − Net Worth</t>
        </is>
      </c>
      <c r="B13" s="21">
        <f>B10-B11-B12</f>
        <v>0</v>
      </c>
      <c r="C13" s="16" t="n"/>
      <c r="D13" s="16" t="inlineStr">
        <is>
          <t>Must be 0.00</t>
        </is>
      </c>
    </row>
    <row r="15" ht="22" customHeight="1">
      <c r="A15" s="22" t="inlineStr">
        <is>
          <t>ASSET MIX BY CATEGORY</t>
        </is>
      </c>
      <c r="B15" s="4" t="n"/>
      <c r="C15" s="4" t="n"/>
      <c r="D15" s="4" t="n"/>
    </row>
    <row r="16" ht="28" customHeight="1">
      <c r="A16" s="12" t="inlineStr">
        <is>
          <t>Asset Category</t>
        </is>
      </c>
      <c r="B16" s="12" t="inlineStr">
        <is>
          <t>Amount (₹)</t>
        </is>
      </c>
      <c r="C16" s="12" t="inlineStr">
        <is>
          <t>% of Assets</t>
        </is>
      </c>
      <c r="D16" s="12" t="inlineStr">
        <is>
          <t>No. of Accounts</t>
        </is>
      </c>
    </row>
    <row r="17" ht="18" customHeight="1">
      <c r="A17" s="13" t="inlineStr">
        <is>
          <t>Land &amp; Property</t>
        </is>
      </c>
      <c r="B17" s="14">
        <f>SUMIF('Assets Detail'!$A$5:$A$52,A17,'Assets Detail'!$D$5:$D$52)</f>
        <v>16681592.9000000004</v>
      </c>
      <c r="C17" s="15">
        <f>B17/$B$10</f>
        <v>0.2257259768</v>
      </c>
      <c r="D17" s="23">
        <f>COUNTIF('Assets Detail'!$A$5:$A$52,A17)</f>
        <v>8</v>
      </c>
    </row>
    <row r="18" ht="18" customHeight="1">
      <c r="A18" s="13" t="inlineStr">
        <is>
          <t>Gold &amp; Valuables</t>
        </is>
      </c>
      <c r="B18" s="14">
        <f>SUMIF('Assets Detail'!$A$5:$A$52,A18,'Assets Detail'!$D$5:$D$52)</f>
        <v>8788</v>
      </c>
      <c r="C18" s="15">
        <f>B18/$B$10</f>
        <v>0.0001189143</v>
      </c>
      <c r="D18" s="23">
        <f>COUNTIF('Assets Detail'!$A$5:$A$52,A18)</f>
        <v>1</v>
      </c>
    </row>
    <row r="19" ht="18" customHeight="1">
      <c r="A19" s="13" t="inlineStr">
        <is>
          <t>Vehicles</t>
        </is>
      </c>
      <c r="B19" s="14">
        <f>SUMIF('Assets Detail'!$A$5:$A$52,A19,'Assets Detail'!$D$5:$D$52)</f>
        <v>330355.87</v>
      </c>
      <c r="C19" s="15">
        <f>B19/$B$10</f>
        <v>0.0044701907</v>
      </c>
      <c r="D19" s="23">
        <f>COUNTIF('Assets Detail'!$A$5:$A$52,A19)</f>
        <v>1</v>
      </c>
    </row>
    <row r="20" ht="18" customHeight="1">
      <c r="A20" s="13" t="inlineStr">
        <is>
          <t>Investments (MF, Shares, Trading)</t>
        </is>
      </c>
      <c r="B20" s="14">
        <f>SUMIF('Assets Detail'!$A$5:$A$52,A20,'Assets Detail'!$D$5:$D$52)</f>
        <v>6688140.1500000004</v>
      </c>
      <c r="C20" s="15">
        <f>B20/$B$10</f>
        <v>0.0905001685</v>
      </c>
      <c r="D20" s="23">
        <f>COUNTIF('Assets Detail'!$A$5:$A$52,A20)</f>
        <v>15</v>
      </c>
    </row>
    <row r="21" ht="18" customHeight="1">
      <c r="A21" s="13" t="inlineStr">
        <is>
          <t>Deposits &amp; Fixed Deposits</t>
        </is>
      </c>
      <c r="B21" s="14">
        <f>SUMIF('Assets Detail'!$A$5:$A$52,A21,'Assets Detail'!$D$5:$D$52)</f>
        <v>218608.52</v>
      </c>
      <c r="C21" s="15">
        <f>B21/$B$10</f>
        <v>0.0029580881</v>
      </c>
      <c r="D21" s="23">
        <f>COUNTIF('Assets Detail'!$A$5:$A$52,A21)</f>
        <v>4</v>
      </c>
    </row>
    <row r="22" ht="18" customHeight="1">
      <c r="A22" s="13" t="inlineStr">
        <is>
          <t>Loans &amp; Advances Given</t>
        </is>
      </c>
      <c r="B22" s="14">
        <f>SUMIF('Assets Detail'!$A$5:$A$52,A22,'Assets Detail'!$D$5:$D$52)</f>
        <v>47878472.1799999997</v>
      </c>
      <c r="C22" s="15">
        <f>B22/$B$10</f>
        <v>0.6478646833</v>
      </c>
      <c r="D22" s="23">
        <f>COUNTIF('Assets Detail'!$A$5:$A$52,A22)</f>
        <v>11</v>
      </c>
    </row>
    <row r="23" ht="18" customHeight="1">
      <c r="A23" s="13" t="inlineStr">
        <is>
          <t>Receivables &amp; Tax Recoverable</t>
        </is>
      </c>
      <c r="B23" s="14">
        <f>SUMIF('Assets Detail'!$A$5:$A$52,A23,'Assets Detail'!$D$5:$D$52)</f>
        <v>377938</v>
      </c>
      <c r="C23" s="15">
        <f>B23/$B$10</f>
        <v>0.0051140454</v>
      </c>
      <c r="D23" s="23">
        <f>COUNTIF('Assets Detail'!$A$5:$A$52,A23)</f>
        <v>3</v>
      </c>
    </row>
    <row r="24" ht="18" customHeight="1">
      <c r="A24" s="13" t="inlineStr">
        <is>
          <t>Cash &amp; Bank Balances</t>
        </is>
      </c>
      <c r="B24" s="14">
        <f>SUMIF('Assets Detail'!$A$5:$A$52,A24,'Assets Detail'!$D$5:$D$52)</f>
        <v>1718067.8799999999</v>
      </c>
      <c r="C24" s="15">
        <f>B24/$B$10</f>
        <v>0.0232479328</v>
      </c>
      <c r="D24" s="23">
        <f>COUNTIF('Assets Detail'!$A$5:$A$52,A24)</f>
        <v>5</v>
      </c>
    </row>
    <row r="25">
      <c r="A25" s="24" t="inlineStr">
        <is>
          <t>TOTAL ASSETS</t>
        </is>
      </c>
      <c r="B25" s="25">
        <f>SUM(B17:B24)</f>
        <v>73901963.5</v>
      </c>
      <c r="C25" s="26">
        <f>B25/$B$10</f>
        <v>1</v>
      </c>
      <c r="D25" s="27">
        <f>SUM(D17:D24)</f>
        <v>48</v>
      </c>
    </row>
    <row r="27" ht="22" customHeight="1">
      <c r="A27" s="22" t="inlineStr">
        <is>
          <t>LIABILITY MIX BY CATEGORY</t>
        </is>
      </c>
      <c r="B27" s="4" t="n"/>
      <c r="C27" s="4" t="n"/>
      <c r="D27" s="4" t="n"/>
    </row>
    <row r="28" ht="28" customHeight="1">
      <c r="A28" s="12" t="inlineStr">
        <is>
          <t>Liability Category</t>
        </is>
      </c>
      <c r="B28" s="12" t="inlineStr">
        <is>
          <t>Amount (₹)</t>
        </is>
      </c>
      <c r="C28" s="12" t="inlineStr">
        <is>
          <t>% of Assets</t>
        </is>
      </c>
      <c r="D28" s="12" t="inlineStr">
        <is>
          <t>No. of Accounts</t>
        </is>
      </c>
    </row>
    <row r="29" ht="18" customHeight="1">
      <c r="A29" s="13" t="inlineStr">
        <is>
          <t>Secured Loans (Housing)</t>
        </is>
      </c>
      <c r="B29" s="14">
        <f>SUMIF('Liabilities Detail'!$B$5:$B$40,A29,'Liabilities Detail'!$E$5:$E$40)</f>
        <v>755798.5</v>
      </c>
      <c r="C29" s="15">
        <f>B29/$B$10</f>
        <v>0.0102270422</v>
      </c>
      <c r="D29" s="23">
        <f>COUNTIF('Liabilities Detail'!$B$5:$B$40,A29)</f>
        <v>1</v>
      </c>
    </row>
    <row r="30" ht="18" customHeight="1">
      <c r="A30" s="13" t="inlineStr">
        <is>
          <t>Unsecured Loans &amp; Borrowings</t>
        </is>
      </c>
      <c r="B30" s="14">
        <f>SUMIF('Liabilities Detail'!$B$5:$B$40,A30,'Liabilities Detail'!$E$5:$E$40)</f>
        <v>56498431.5099999979</v>
      </c>
      <c r="C30" s="15">
        <f>B30/$B$10</f>
        <v>0.7645051476</v>
      </c>
      <c r="D30" s="23">
        <f>COUNTIF('Liabilities Detail'!$B$5:$B$40,A30)</f>
        <v>16</v>
      </c>
    </row>
    <row r="31" ht="18" customHeight="1">
      <c r="A31" s="13" t="inlineStr">
        <is>
          <t>Trade Creditors &amp; Payables</t>
        </is>
      </c>
      <c r="B31" s="14">
        <f>SUMIF('Liabilities Detail'!$B$5:$B$40,A31,'Liabilities Detail'!$E$5:$E$40)</f>
        <v>1898699</v>
      </c>
      <c r="C31" s="15">
        <f>B31/$B$10</f>
        <v>0.025692132</v>
      </c>
      <c r="D31" s="23">
        <f>COUNTIF('Liabilities Detail'!$B$5:$B$40,A31)</f>
        <v>6</v>
      </c>
    </row>
    <row r="32" ht="18" customHeight="1">
      <c r="A32" s="13" t="inlineStr">
        <is>
          <t>Current Liabilities</t>
        </is>
      </c>
      <c r="B32" s="14">
        <f>SUMIF('Liabilities Detail'!$B$5:$B$40,A32,'Liabilities Detail'!$E$5:$E$40)</f>
        <v>265500</v>
      </c>
      <c r="C32" s="15">
        <f>B32/$B$10</f>
        <v>0.0035925974</v>
      </c>
      <c r="D32" s="23">
        <f>COUNTIF('Liabilities Detail'!$B$5:$B$40,A32)</f>
        <v>4</v>
      </c>
    </row>
    <row r="33" ht="18" customHeight="1">
      <c r="A33" s="13" t="inlineStr">
        <is>
          <t>Credit Card Dues</t>
        </is>
      </c>
      <c r="B33" s="14">
        <f>SUMIF('Liabilities Detail'!$B$5:$B$40,A33,'Liabilities Detail'!$E$5:$E$40)</f>
        <v>11734.37</v>
      </c>
      <c r="C33" s="15">
        <f>B33/$B$10</f>
        <v>0.0001587829</v>
      </c>
      <c r="D33" s="23">
        <f>COUNTIF('Liabilities Detail'!$B$5:$B$40,A33)</f>
        <v>2</v>
      </c>
    </row>
    <row r="34" ht="18" customHeight="1">
      <c r="A34" s="13" t="inlineStr">
        <is>
          <t>Other Credit / Contra Balances</t>
        </is>
      </c>
      <c r="B34" s="14">
        <f>SUMIF('Liabilities Detail'!$B$5:$B$40,A34,'Liabilities Detail'!$E$5:$E$40)</f>
        <v>1421462.8</v>
      </c>
      <c r="C34" s="15">
        <f>B34/$B$10</f>
        <v>0.0192344389</v>
      </c>
      <c r="D34" s="23">
        <f>COUNTIF('Liabilities Detail'!$B$5:$B$40,A34)</f>
        <v>4</v>
      </c>
    </row>
    <row r="35">
      <c r="A35" s="24" t="inlineStr">
        <is>
          <t>TOTAL EXTERNAL LIABILITIES</t>
        </is>
      </c>
      <c r="B35" s="25">
        <f>SUM(B29:B34)</f>
        <v>60851626.1799999997</v>
      </c>
      <c r="C35" s="26">
        <f>B35/$B$10</f>
        <v>0.8234101409</v>
      </c>
      <c r="D35" s="27">
        <f>SUM(D29:D34)</f>
        <v>33</v>
      </c>
    </row>
    <row r="37" ht="22" customHeight="1">
      <c r="A37" s="22" t="inlineStr">
        <is>
          <t>NET WORTH COMPOSITION  (equity accounts on the Liabilities side)</t>
        </is>
      </c>
      <c r="B37" s="4" t="n"/>
      <c r="C37" s="4" t="n"/>
      <c r="D37" s="4" t="n"/>
    </row>
    <row r="38" ht="28" customHeight="1">
      <c r="A38" s="12" t="inlineStr">
        <is>
          <t>Equity Component</t>
        </is>
      </c>
      <c r="B38" s="12" t="inlineStr">
        <is>
          <t>Amount (₹)</t>
        </is>
      </c>
      <c r="C38" s="12" t="inlineStr">
        <is>
          <t>% of Net Worth</t>
        </is>
      </c>
      <c r="D38" s="12" t="inlineStr">
        <is>
          <t>Source Group</t>
        </is>
      </c>
    </row>
    <row r="39" ht="18" customHeight="1">
      <c r="A39" s="13" t="inlineStr">
        <is>
          <t>Owner's Capital</t>
        </is>
      </c>
      <c r="B39" s="14">
        <f>SUMIF('Liabilities Detail'!$B$5:$B$40,A39,'Liabilities Detail'!$E$5:$E$40)</f>
        <v>12453086.5199999996</v>
      </c>
      <c r="C39" s="15">
        <f>B39/$B$12</f>
        <v>0.9542348381</v>
      </c>
      <c r="D39" s="28" t="inlineStr">
        <is>
          <t>CAPITAL A/C</t>
        </is>
      </c>
    </row>
    <row r="40" ht="18" customHeight="1">
      <c r="A40" s="13" t="inlineStr">
        <is>
          <t>Reserves &amp; Surplus</t>
        </is>
      </c>
      <c r="B40" s="14">
        <f>SUMIF('Liabilities Detail'!$B$5:$B$40,A40,'Liabilities Detail'!$E$5:$E$40)</f>
        <v>174850.8</v>
      </c>
      <c r="C40" s="15">
        <f>B40/$B$12</f>
        <v>0.0133981824</v>
      </c>
      <c r="D40" s="28" t="inlineStr">
        <is>
          <t>CAPITAL RESERVE AND SURPLUS A/C</t>
        </is>
      </c>
    </row>
    <row r="41" ht="18" customHeight="1">
      <c r="A41" s="13" t="inlineStr">
        <is>
          <t>Unappropriated Income</t>
        </is>
      </c>
      <c r="B41" s="14">
        <f>SUMIF('Liabilities Detail'!$B$5:$B$40,A41,'Liabilities Detail'!$E$5:$E$40)</f>
        <v>422400</v>
      </c>
      <c r="C41" s="15">
        <f>B41/$B$12</f>
        <v>0.0323669795</v>
      </c>
      <c r="D41" s="28" t="inlineStr">
        <is>
          <t>INCOME A/C</t>
        </is>
      </c>
    </row>
    <row r="42">
      <c r="A42" s="24" t="inlineStr">
        <is>
          <t>TOTAL EQUITY = NET WORTH</t>
        </is>
      </c>
      <c r="B42" s="25">
        <f>SUM(B39:B41)</f>
        <v>13050337.3200000003</v>
      </c>
      <c r="C42" s="26">
        <f>B42/$B$12</f>
        <v>1</v>
      </c>
      <c r="D42" s="24" t="n"/>
    </row>
    <row r="43">
      <c r="A43" s="29" t="inlineStr">
        <is>
          <t>Check: Equity − Net Worth (must be 0.00)</t>
        </is>
      </c>
      <c r="B43" s="21">
        <f>B42-B12</f>
        <v>0</v>
      </c>
    </row>
    <row r="45" ht="22" customHeight="1">
      <c r="A45" s="11" t="inlineStr">
        <is>
          <t>KEY RATIOS</t>
        </is>
      </c>
      <c r="B45" s="2" t="n"/>
      <c r="C45" s="2" t="n"/>
      <c r="D45" s="2" t="n"/>
    </row>
    <row r="46" ht="28" customHeight="1">
      <c r="A46" s="12" t="inlineStr">
        <is>
          <t>Ratio</t>
        </is>
      </c>
      <c r="B46" s="12" t="inlineStr">
        <is>
          <t>Value</t>
        </is>
      </c>
      <c r="C46" s="12" t="inlineStr"/>
      <c r="D46" s="12" t="inlineStr">
        <is>
          <t>What it shows</t>
        </is>
      </c>
    </row>
    <row r="47" ht="18" customHeight="1">
      <c r="A47" s="13" t="inlineStr">
        <is>
          <t>Net Worth / Total Assets</t>
        </is>
      </c>
      <c r="B47" s="15">
        <f>B12/B10</f>
        <v>0.1765898591</v>
      </c>
      <c r="C47" s="16" t="n"/>
      <c r="D47" s="16" t="inlineStr">
        <is>
          <t>Share of the asset base funded by the owner</t>
        </is>
      </c>
    </row>
    <row r="48" ht="18" customHeight="1">
      <c r="A48" s="13" t="inlineStr">
        <is>
          <t>Debt / Equity</t>
        </is>
      </c>
      <c r="B48" s="30">
        <f>B11/B12</f>
        <v>4.6628393342</v>
      </c>
      <c r="C48" s="16" t="n"/>
      <c r="D48" s="16" t="inlineStr">
        <is>
          <t>Rupees of external debt for every rupee of net worth</t>
        </is>
      </c>
    </row>
    <row r="49" ht="18" customHeight="1">
      <c r="A49" s="13" t="inlineStr">
        <is>
          <t>Debt / Total Assets</t>
        </is>
      </c>
      <c r="B49" s="15">
        <f>B11/B10</f>
        <v>0.8234101409</v>
      </c>
      <c r="C49" s="16" t="n"/>
      <c r="D49" s="16" t="inlineStr">
        <is>
          <t>Share of the asset base funded by debt</t>
        </is>
      </c>
    </row>
    <row r="50" ht="18" customHeight="1">
      <c r="A50" s="13" t="inlineStr">
        <is>
          <t>Loans &amp; Advances Given / Total Assets</t>
        </is>
      </c>
      <c r="B50" s="15">
        <f>B22/B10</f>
        <v>0.6478646833</v>
      </c>
      <c r="C50" s="16" t="n"/>
      <c r="D50" s="16" t="inlineStr">
        <is>
          <t>Concentration in loans/advances given to third parties</t>
        </is>
      </c>
    </row>
    <row r="51" ht="18" customHeight="1">
      <c r="A51" s="13" t="inlineStr">
        <is>
          <t>Cash &amp; Bank / Total Assets</t>
        </is>
      </c>
      <c r="B51" s="15">
        <f>B24/B10</f>
        <v>0.0232479328</v>
      </c>
      <c r="C51" s="16" t="n"/>
      <c r="D51" s="16" t="inlineStr">
        <is>
          <t>Readily available cash &amp; bank balances</t>
        </is>
      </c>
    </row>
    <row r="53" ht="22" customHeight="1">
      <c r="A53" s="22" t="inlineStr">
        <is>
          <t>BASIS AT A GLANCE</t>
        </is>
      </c>
      <c r="B53" s="4" t="n"/>
      <c r="C53" s="4" t="n"/>
      <c r="D53" s="4" t="n"/>
    </row>
    <row r="54" ht="16" customHeight="1">
      <c r="A54" s="31" t="inlineStr">
        <is>
          <t>•  Net Worth = Total Assets − Total External Liabilities = Owner's Capital + Reserves + untransferred Income.</t>
        </is>
      </c>
    </row>
    <row r="55" ht="16" customHeight="1">
      <c r="A55" s="31" t="inlineStr">
        <is>
          <t>•  Equity accounts on the Liabilities side are excluded from external debt; all other credit balances are included.</t>
        </is>
      </c>
    </row>
    <row r="56" ht="16" customHeight="1">
      <c r="A56" s="31" t="inlineStr">
        <is>
          <t>•  Asset-side balances are taken at book value; contra / credit balances were kept on the liabilities side (conservative).</t>
        </is>
      </c>
    </row>
    <row r="57" ht="16" customHeight="1">
      <c r="A57" s="31" t="inlineStr">
        <is>
          <t>•  See 'Notes &amp; Method' for classification rules, source quirks and reconciliation checks.</t>
        </is>
      </c>
    </row>
  </sheetData>
  <mergeCells count="14">
    <mergeCell ref="A1:D1"/>
    <mergeCell ref="A5:D5"/>
    <mergeCell ref="A37:D37"/>
    <mergeCell ref="A27:D27"/>
    <mergeCell ref="A8:D8"/>
    <mergeCell ref="A45:D45"/>
    <mergeCell ref="A56:D56"/>
    <mergeCell ref="A53:D53"/>
    <mergeCell ref="B4:D4"/>
    <mergeCell ref="A54:D54"/>
    <mergeCell ref="A55:D55"/>
    <mergeCell ref="A15:D15"/>
    <mergeCell ref="A57:D57"/>
    <mergeCell ref="A2:D2"/>
  </mergeCells>
  <hyperlinks>
    <hyperlink ref="B6" location="'Net Worth Calculation'!A1" tooltip="Calculation"/>
    <hyperlink ref="C6" location="'Assets Detail'!A1" tooltip="Assets Detail"/>
    <hyperlink ref="D6" location="'Liabilities Detail'!A1" tooltip="Liabilities Detail"/>
    <hyperlink ref="E6" location="'Balance Sheet (Source)'!A1" tooltip="Source B/S"/>
    <hyperlink ref="F6" location="'Notes &amp; Method'!A1" tooltip="Notes &amp; Method"/>
  </hyperlinks>
  <pageMargins left="0.3" right="0.3" top="0.45" bottom="0.45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C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66" customWidth="1" min="3" max="3"/>
  </cols>
  <sheetData>
    <row r="1" ht="30" customHeight="1">
      <c r="A1" s="32" t="inlineStr">
        <is>
          <t>NET WORTH — CALCULATION &amp; RECONCILIATION</t>
        </is>
      </c>
      <c r="B1" s="2" t="n"/>
      <c r="C1" s="2" t="n"/>
    </row>
    <row r="2">
      <c r="A2" s="33" t="inlineStr">
        <is>
          <t>VIPULBHAI LALJIBHAI PATEL   |   As on 10/09/2026   |   Amounts in INR (₹)</t>
        </is>
      </c>
    </row>
    <row r="4" ht="20" customHeight="1">
      <c r="A4" s="34" t="inlineStr">
        <is>
          <t>STEP 1 — TOTAL ASSETS</t>
        </is>
      </c>
      <c r="B4" s="35" t="n"/>
      <c r="C4" s="35" t="n"/>
    </row>
    <row r="5">
      <c r="A5" s="13" t="inlineStr">
        <is>
          <t>Total Assets (asset side of the Balance Sheet)</t>
        </is>
      </c>
      <c r="B5" s="14">
        <f>'Net Worth Summary'!B10</f>
        <v>73901963.5</v>
      </c>
      <c r="C5" s="16" t="inlineStr">
        <is>
          <t>Links to 'Assets Detail' total.</t>
        </is>
      </c>
    </row>
    <row r="7" ht="20" customHeight="1">
      <c r="A7" s="34" t="inlineStr">
        <is>
          <t>STEP 2 — TOTAL EXTERNAL LIABILITIES</t>
        </is>
      </c>
      <c r="B7" s="35" t="n"/>
      <c r="C7" s="35" t="n"/>
    </row>
    <row r="8" ht="28" customHeight="1">
      <c r="A8" s="12" t="inlineStr">
        <is>
          <t>Liability Category</t>
        </is>
      </c>
      <c r="B8" s="12" t="inlineStr">
        <is>
          <t>Amount (₹)</t>
        </is>
      </c>
      <c r="C8" s="12" t="inlineStr">
        <is>
          <t>Basis</t>
        </is>
      </c>
    </row>
    <row r="9">
      <c r="A9" s="13" t="inlineStr">
        <is>
          <t>Secured Loans (Housing)</t>
        </is>
      </c>
      <c r="B9" s="14">
        <f>'Net Worth Summary'!B29</f>
        <v>755798.5</v>
      </c>
      <c r="C9" s="16" t="inlineStr">
        <is>
          <t>From 'Net Worth Summary' → Liability Mix</t>
        </is>
      </c>
    </row>
    <row r="10">
      <c r="A10" s="13" t="inlineStr">
        <is>
          <t>Unsecured Loans &amp; Borrowings</t>
        </is>
      </c>
      <c r="B10" s="14">
        <f>'Net Worth Summary'!B30</f>
        <v>56498431.5099999979</v>
      </c>
      <c r="C10" s="16" t="inlineStr">
        <is>
          <t>From 'Net Worth Summary' → Liability Mix</t>
        </is>
      </c>
    </row>
    <row r="11">
      <c r="A11" s="13" t="inlineStr">
        <is>
          <t>Trade Creditors &amp; Payables</t>
        </is>
      </c>
      <c r="B11" s="14">
        <f>'Net Worth Summary'!B31</f>
        <v>1898699</v>
      </c>
      <c r="C11" s="16" t="inlineStr">
        <is>
          <t>From 'Net Worth Summary' → Liability Mix</t>
        </is>
      </c>
    </row>
    <row r="12">
      <c r="A12" s="13" t="inlineStr">
        <is>
          <t>Current Liabilities</t>
        </is>
      </c>
      <c r="B12" s="14">
        <f>'Net Worth Summary'!B32</f>
        <v>265500</v>
      </c>
      <c r="C12" s="16" t="inlineStr">
        <is>
          <t>From 'Net Worth Summary' → Liability Mix</t>
        </is>
      </c>
    </row>
    <row r="13">
      <c r="A13" s="13" t="inlineStr">
        <is>
          <t>Credit Card Dues</t>
        </is>
      </c>
      <c r="B13" s="14">
        <f>'Net Worth Summary'!B33</f>
        <v>11734.37</v>
      </c>
      <c r="C13" s="16" t="inlineStr">
        <is>
          <t>From 'Net Worth Summary' → Liability Mix</t>
        </is>
      </c>
    </row>
    <row r="14">
      <c r="A14" s="13" t="inlineStr">
        <is>
          <t>Other Credit / Contra Balances</t>
        </is>
      </c>
      <c r="B14" s="14">
        <f>'Net Worth Summary'!B34</f>
        <v>1421462.8</v>
      </c>
      <c r="C14" s="16" t="inlineStr">
        <is>
          <t>From 'Net Worth Summary' → Liability Mix</t>
        </is>
      </c>
    </row>
    <row r="15">
      <c r="A15" s="24" t="inlineStr">
        <is>
          <t>TOTAL EXTERNAL LIABILITIES</t>
        </is>
      </c>
      <c r="B15" s="25">
        <f>SUM(B9:B14)</f>
        <v>60851626.1799999997</v>
      </c>
      <c r="C15" s="24" t="n"/>
    </row>
    <row r="17" ht="20" customHeight="1">
      <c r="A17" s="34" t="inlineStr">
        <is>
          <t>STEP 3 — NET WORTH</t>
        </is>
      </c>
      <c r="B17" s="35" t="n"/>
      <c r="C17" s="35" t="n"/>
    </row>
    <row r="18" ht="26" customHeight="1">
      <c r="A18" s="36" t="inlineStr">
        <is>
          <t>NET WORTH  =  Total Assets − External Liabilities</t>
        </is>
      </c>
      <c r="B18" s="37">
        <f>B5-B15</f>
        <v>13050337.3200000003</v>
      </c>
      <c r="C18" s="38" t="inlineStr">
        <is>
          <t>Owner's stake in the business / personal balance sheet.</t>
        </is>
      </c>
    </row>
    <row r="20" ht="20" customHeight="1">
      <c r="A20" s="34" t="inlineStr">
        <is>
          <t>STEP 4 — RECONCILIATION WITH THE EQUITY ACCOUNTS IN THE BALANCE SHEET</t>
        </is>
      </c>
      <c r="B20" s="35" t="n"/>
      <c r="C20" s="35" t="n"/>
    </row>
    <row r="21" ht="28" customHeight="1">
      <c r="A21" s="12" t="inlineStr">
        <is>
          <t>Equity Account</t>
        </is>
      </c>
      <c r="B21" s="12" t="inlineStr">
        <is>
          <t>Amount (₹)</t>
        </is>
      </c>
      <c r="C21" s="12" t="inlineStr">
        <is>
          <t>Source Group</t>
        </is>
      </c>
    </row>
    <row r="22">
      <c r="A22" s="13" t="inlineStr">
        <is>
          <t>Owner's Capital</t>
        </is>
      </c>
      <c r="B22" s="14">
        <f>'Net Worth Summary'!B39</f>
        <v>12453086.5199999996</v>
      </c>
      <c r="C22" s="16" t="inlineStr">
        <is>
          <t>CAPITAL A/C</t>
        </is>
      </c>
    </row>
    <row r="23">
      <c r="A23" s="13" t="inlineStr">
        <is>
          <t>Reserves &amp; Surplus</t>
        </is>
      </c>
      <c r="B23" s="14">
        <f>'Net Worth Summary'!B40</f>
        <v>174850.8</v>
      </c>
      <c r="C23" s="16" t="inlineStr">
        <is>
          <t>CAPITAL RESERVE AND SURPLUS A/C</t>
        </is>
      </c>
    </row>
    <row r="24">
      <c r="A24" s="13" t="inlineStr">
        <is>
          <t>Unappropriated Income</t>
        </is>
      </c>
      <c r="B24" s="14">
        <f>'Net Worth Summary'!B41</f>
        <v>422400</v>
      </c>
      <c r="C24" s="16" t="inlineStr">
        <is>
          <t>INCOME A/C</t>
        </is>
      </c>
    </row>
    <row r="25">
      <c r="A25" s="24" t="inlineStr">
        <is>
          <t>Equity per Balance Sheet</t>
        </is>
      </c>
      <c r="B25" s="25">
        <f>SUM(B22:B24)</f>
        <v>13050337.3200000003</v>
      </c>
      <c r="C25" s="24" t="n"/>
    </row>
    <row r="26">
      <c r="A26" s="29" t="inlineStr">
        <is>
          <t>Difference: Net Worth − Equity (must be 0.00)</t>
        </is>
      </c>
      <c r="B26" s="21">
        <f>B18-B25</f>
        <v>0</v>
      </c>
    </row>
    <row r="28" ht="20" customHeight="1">
      <c r="A28" s="34" t="inlineStr">
        <is>
          <t>MEMO ITEMS &amp; CROSS-CHECKS</t>
        </is>
      </c>
      <c r="B28" s="35" t="n"/>
      <c r="C28" s="35" t="n"/>
    </row>
    <row r="29">
      <c r="A29" s="13" t="inlineStr">
        <is>
          <t>Book capital (Capital + Reserves only, before untransferred income)</t>
        </is>
      </c>
      <c r="B29" s="14">
        <f>B22+B23</f>
        <v>12627937.3200000003</v>
      </c>
    </row>
    <row r="30">
      <c r="A30" s="13" t="inlineStr">
        <is>
          <t>Net profit transferred from P&amp;L (included in Reserves &amp; Surplus)</t>
        </is>
      </c>
      <c r="B30" s="14">
        <f>'Net Worth Summary'!B40</f>
        <v>174850.8</v>
      </c>
    </row>
    <row r="31">
      <c r="A31" s="13" t="inlineStr">
        <is>
          <t>Income A/C not yet transferred to P&amp;L (Salary Income)</t>
        </is>
      </c>
      <c r="B31" s="14">
        <f>B24</f>
        <v>422400</v>
      </c>
    </row>
    <row r="32">
      <c r="A32" s="13" t="inlineStr">
        <is>
          <t>Balance Sheet grand total — Liabilities side</t>
        </is>
      </c>
      <c r="B32" s="14">
        <f>'Balance Sheet (Source)'!B61</f>
        <v>73901963.5</v>
      </c>
    </row>
    <row r="33">
      <c r="A33" s="13" t="inlineStr">
        <is>
          <t>Balance Sheet grand total — Assets side</t>
        </is>
      </c>
      <c r="B33" s="14">
        <f>'Balance Sheet (Source)'!D61</f>
        <v>73901963.5</v>
      </c>
    </row>
    <row r="34">
      <c r="A34" s="28" t="inlineStr">
        <is>
          <t>Check: Total Assets − B/S grand total (must be 0.00)</t>
        </is>
      </c>
      <c r="B34" s="39">
        <f>B5-B32</f>
        <v>0</v>
      </c>
    </row>
    <row r="35">
      <c r="A35" s="28" t="inlineStr">
        <is>
          <t>Check: External Liabilities + Equity − B/S total (must be 0.00)</t>
        </is>
      </c>
      <c r="B35" s="39">
        <f>B15+B25-B32</f>
        <v>0</v>
      </c>
    </row>
    <row r="38" ht="20" customHeight="1">
      <c r="A38" s="34" t="inlineStr">
        <is>
          <t>METHOD</t>
        </is>
      </c>
      <c r="B38" s="35" t="n"/>
      <c r="C38" s="35" t="n"/>
    </row>
    <row r="39" ht="15" customHeight="1">
      <c r="A39" s="40" t="inlineStr">
        <is>
          <t>• Total Assets = all balances reported on the Assets (right) side of the source Balance Sheet.</t>
        </is>
      </c>
    </row>
    <row r="40" ht="15" customHeight="1">
      <c r="A40" s="40" t="inlineStr">
        <is>
          <t>• External Liabilities = every balance on the Liabilities (left) side except the three equity accounts.</t>
        </is>
      </c>
    </row>
    <row r="41" ht="15" customHeight="1">
      <c r="A41" s="40" t="inlineStr">
        <is>
          <t>• Net Worth = Total Assets − External Liabilities, cross-checked against Capital + Reserves + Income.</t>
        </is>
      </c>
    </row>
    <row r="42" ht="15" customHeight="1">
      <c r="A42" s="40" t="inlineStr">
        <is>
          <t>• Because the source Balance Sheet balances, the two computations agree exactly (see difference rows above).</t>
        </is>
      </c>
    </row>
  </sheetData>
  <mergeCells count="6">
    <mergeCell ref="A42:C42"/>
    <mergeCell ref="A41:C41"/>
    <mergeCell ref="A1:C1"/>
    <mergeCell ref="A40:C40"/>
    <mergeCell ref="A39:C39"/>
    <mergeCell ref="A2:C2"/>
  </mergeCells>
  <pageMargins left="0.3" right="0.3" top="0.45" bottom="0.4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2E8B57"/>
    <outlinePr summaryBelow="1" summaryRight="1"/>
    <pageSetUpPr fitToPage="1"/>
  </sheetPr>
  <dimension ref="A1:F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56" customWidth="1" min="3" max="3"/>
    <col width="20" customWidth="1" min="4" max="4"/>
    <col width="15" customWidth="1" min="5" max="5"/>
    <col width="12" customWidth="1" min="6" max="6"/>
  </cols>
  <sheetData>
    <row r="1" ht="30" customHeight="1">
      <c r="A1" s="32" t="inlineStr">
        <is>
          <t>ASSETS — DETAILED SCHEDULE</t>
        </is>
      </c>
      <c r="B1" s="2" t="n"/>
      <c r="C1" s="2" t="n"/>
      <c r="D1" s="2" t="n"/>
      <c r="E1" s="2" t="n"/>
      <c r="F1" s="2" t="n"/>
    </row>
    <row r="2">
      <c r="A2" s="41" t="inlineStr">
        <is>
          <t>VIPULBHAI LALJIBHAI PATEL   |   As on 10/09/2026   |   Amounts in INR (₹)   |   Source: Assets side of the Balance Sheet</t>
        </is>
      </c>
    </row>
    <row r="4" ht="28" customHeight="1">
      <c r="A4" s="12" t="inlineStr">
        <is>
          <t>Asset Category</t>
        </is>
      </c>
      <c r="B4" s="12" t="inlineStr">
        <is>
          <t>Source Group (B/S)</t>
        </is>
      </c>
      <c r="C4" s="12" t="inlineStr">
        <is>
          <t>Account / Particulars</t>
        </is>
      </c>
      <c r="D4" s="12" t="inlineStr">
        <is>
          <t>Amount (₹)</t>
        </is>
      </c>
      <c r="E4" s="12" t="inlineStr">
        <is>
          <t>% of Total Assets</t>
        </is>
      </c>
      <c r="F4" s="12" t="inlineStr">
        <is>
          <t>Source Page</t>
        </is>
      </c>
    </row>
    <row r="5" ht="16" customHeight="1">
      <c r="A5" s="28" t="inlineStr">
        <is>
          <t>Land &amp; Property</t>
        </is>
      </c>
      <c r="B5" s="28" t="inlineStr">
        <is>
          <t>ASSETS A/C</t>
        </is>
      </c>
      <c r="C5" s="28" t="inlineStr">
        <is>
          <t>AGRI. LAND PURCHASE(ASTGAM-801)1/4 A/C</t>
        </is>
      </c>
      <c r="D5" s="39" t="n">
        <v>198825</v>
      </c>
      <c r="E5" s="42">
        <f>D5/$D$53</f>
        <v>0.0026903886</v>
      </c>
      <c r="F5" s="43" t="n">
        <v>1</v>
      </c>
    </row>
    <row r="6" ht="16" customHeight="1">
      <c r="A6" s="28" t="inlineStr">
        <is>
          <t>Land &amp; Property</t>
        </is>
      </c>
      <c r="B6" s="28" t="inlineStr">
        <is>
          <t>ASSETS A/C</t>
        </is>
      </c>
      <c r="C6" s="28" t="inlineStr">
        <is>
          <t>AGRI. LAND PURCHASE(ASTGAM-827)1/4 A/C</t>
        </is>
      </c>
      <c r="D6" s="39" t="n">
        <v>278250</v>
      </c>
      <c r="E6" s="42">
        <f>D6/$D$53</f>
        <v>0.0037651232</v>
      </c>
      <c r="F6" s="43" t="n">
        <v>1</v>
      </c>
    </row>
    <row r="7" ht="16" customHeight="1">
      <c r="A7" s="28" t="inlineStr">
        <is>
          <t>Land &amp; Property</t>
        </is>
      </c>
      <c r="B7" s="28" t="inlineStr">
        <is>
          <t>ASSETS A/C</t>
        </is>
      </c>
      <c r="C7" s="28" t="inlineStr">
        <is>
          <t>AGRI. LAND PURCHASE(ASTGAM-830)1/4 A/C</t>
        </is>
      </c>
      <c r="D7" s="39" t="n">
        <v>662125</v>
      </c>
      <c r="E7" s="42">
        <f>D7/$D$53</f>
        <v>0.0089595048</v>
      </c>
      <c r="F7" s="43" t="n">
        <v>1</v>
      </c>
    </row>
    <row r="8" ht="16" customHeight="1">
      <c r="A8" s="28" t="inlineStr">
        <is>
          <t>Land &amp; Property</t>
        </is>
      </c>
      <c r="B8" s="28" t="inlineStr">
        <is>
          <t>ASSETS A/C</t>
        </is>
      </c>
      <c r="C8" s="28" t="inlineStr">
        <is>
          <t>AGRI. LAND PURCHASE(BAMANIYA-179/1)1/2 A/C</t>
        </is>
      </c>
      <c r="D8" s="39" t="n">
        <v>404000</v>
      </c>
      <c r="E8" s="42">
        <f>D8/$D$53</f>
        <v>0.0054667018</v>
      </c>
      <c r="F8" s="43" t="n">
        <v>1</v>
      </c>
    </row>
    <row r="9" ht="16" customHeight="1">
      <c r="A9" s="28" t="inlineStr">
        <is>
          <t>Land &amp; Property</t>
        </is>
      </c>
      <c r="B9" s="28" t="inlineStr">
        <is>
          <t>ASSETS A/C</t>
        </is>
      </c>
      <c r="C9" s="28" t="inlineStr">
        <is>
          <t>LAND PLOT NO 43- LAKEVIEW RESIDENCY A/C</t>
        </is>
      </c>
      <c r="D9" s="39" t="n">
        <v>134150</v>
      </c>
      <c r="E9" s="42">
        <f>D9/$D$53</f>
        <v>0.0018152427</v>
      </c>
      <c r="F9" s="43" t="n">
        <v>1</v>
      </c>
    </row>
    <row r="10" ht="16" customHeight="1">
      <c r="A10" s="28" t="inlineStr">
        <is>
          <t>Land &amp; Property</t>
        </is>
      </c>
      <c r="B10" s="28" t="inlineStr">
        <is>
          <t>ASSETS A/C</t>
        </is>
      </c>
      <c r="C10" s="28" t="inlineStr">
        <is>
          <t>LAND-PLOT NO.- SACHIN PURCHASE A/C</t>
        </is>
      </c>
      <c r="D10" s="39" t="n">
        <v>6960455.9</v>
      </c>
      <c r="E10" s="42">
        <f>D10/$D$53</f>
        <v>0.0941849928</v>
      </c>
      <c r="F10" s="43" t="n">
        <v>1</v>
      </c>
    </row>
    <row r="11" ht="16" customHeight="1">
      <c r="A11" s="28" t="inlineStr">
        <is>
          <t>Land &amp; Property</t>
        </is>
      </c>
      <c r="B11" s="28" t="inlineStr">
        <is>
          <t>ASSETS A/C</t>
        </is>
      </c>
      <c r="C11" s="28" t="inlineStr">
        <is>
          <t>RESI.PROPERTY CONSTRUCTION</t>
        </is>
      </c>
      <c r="D11" s="39" t="n">
        <v>7696700</v>
      </c>
      <c r="E11" s="42">
        <f>D11/$D$53</f>
        <v>0.1041474358</v>
      </c>
      <c r="F11" s="43" t="n">
        <v>1</v>
      </c>
    </row>
    <row r="12" ht="16" customHeight="1">
      <c r="A12" s="28" t="inlineStr">
        <is>
          <t>Land &amp; Property</t>
        </is>
      </c>
      <c r="B12" s="28" t="inlineStr">
        <is>
          <t>ASSETS A/C</t>
        </is>
      </c>
      <c r="C12" s="28" t="inlineStr">
        <is>
          <t>RESI.PROPERTY SUMANGAL</t>
        </is>
      </c>
      <c r="D12" s="39" t="n">
        <v>347087</v>
      </c>
      <c r="E12" s="42">
        <f>D12/$D$53</f>
        <v>0.004696587</v>
      </c>
      <c r="F12" s="43" t="n">
        <v>1</v>
      </c>
    </row>
    <row r="13" ht="16" customHeight="1">
      <c r="A13" s="28" t="inlineStr">
        <is>
          <t>Gold &amp; Valuables</t>
        </is>
      </c>
      <c r="B13" s="28" t="inlineStr">
        <is>
          <t>ASSETS A/C</t>
        </is>
      </c>
      <c r="C13" s="28" t="inlineStr">
        <is>
          <t>GOLD ORNAMENTS</t>
        </is>
      </c>
      <c r="D13" s="39" t="n">
        <v>8788</v>
      </c>
      <c r="E13" s="42">
        <f>D13/$D$53</f>
        <v>0.0001189143</v>
      </c>
      <c r="F13" s="43" t="n">
        <v>1</v>
      </c>
    </row>
    <row r="14" ht="16" customHeight="1">
      <c r="A14" s="28" t="inlineStr">
        <is>
          <t>Vehicles</t>
        </is>
      </c>
      <c r="B14" s="28" t="inlineStr">
        <is>
          <t>ASSETS A/C</t>
        </is>
      </c>
      <c r="C14" s="28" t="inlineStr">
        <is>
          <t>AKSHAR AUTO ELECTRIC</t>
        </is>
      </c>
      <c r="D14" s="39" t="n">
        <v>330355.87</v>
      </c>
      <c r="E14" s="42">
        <f>D14/$D$53</f>
        <v>0.0044701907</v>
      </c>
      <c r="F14" s="43" t="n">
        <v>1</v>
      </c>
    </row>
    <row r="15" ht="16" customHeight="1">
      <c r="A15" s="28" t="inlineStr">
        <is>
          <t>Investments (MF, Shares, Trading)</t>
        </is>
      </c>
      <c r="B15" s="28" t="inlineStr">
        <is>
          <t>INVESTMENT A/C</t>
        </is>
      </c>
      <c r="C15" s="28" t="inlineStr">
        <is>
          <t>BARODA PIONEER M FUND-15034352</t>
        </is>
      </c>
      <c r="D15" s="39" t="n">
        <v>72000</v>
      </c>
      <c r="E15" s="42">
        <f>D15/$D$53</f>
        <v>0.0009742637</v>
      </c>
      <c r="F15" s="43" t="n">
        <v>1</v>
      </c>
    </row>
    <row r="16" ht="16" customHeight="1">
      <c r="A16" s="28" t="inlineStr">
        <is>
          <t>Investments (MF, Shares, Trading)</t>
        </is>
      </c>
      <c r="B16" s="28" t="inlineStr">
        <is>
          <t>INVESTMENT A/C</t>
        </is>
      </c>
      <c r="C16" s="28" t="inlineStr">
        <is>
          <t>DIESEL WORLD E SHARE</t>
        </is>
      </c>
      <c r="D16" s="39" t="n">
        <v>23000</v>
      </c>
      <c r="E16" s="42">
        <f>D16/$D$53</f>
        <v>0.0003112231</v>
      </c>
      <c r="F16" s="43" t="n">
        <v>1</v>
      </c>
    </row>
    <row r="17" ht="16" customHeight="1">
      <c r="A17" s="28" t="inlineStr">
        <is>
          <t>Investments (MF, Shares, Trading)</t>
        </is>
      </c>
      <c r="B17" s="28" t="inlineStr">
        <is>
          <t>INVESTMENT A/C</t>
        </is>
      </c>
      <c r="C17" s="28" t="inlineStr">
        <is>
          <t>DRIVE TRUSCKING SHARE</t>
        </is>
      </c>
      <c r="D17" s="39" t="n">
        <v>25000</v>
      </c>
      <c r="E17" s="42">
        <f>D17/$D$53</f>
        <v>0.000338286</v>
      </c>
      <c r="F17" s="43" t="n">
        <v>1</v>
      </c>
    </row>
    <row r="18" ht="16" customHeight="1">
      <c r="A18" s="28" t="inlineStr">
        <is>
          <t>Investments (MF, Shares, Trading)</t>
        </is>
      </c>
      <c r="B18" s="28" t="inlineStr">
        <is>
          <t>INVESTMENT A/C</t>
        </is>
      </c>
      <c r="C18" s="28" t="inlineStr">
        <is>
          <t>FINVOLVE ANGEL TRUST</t>
        </is>
      </c>
      <c r="D18" s="39" t="n">
        <v>1000050</v>
      </c>
      <c r="E18" s="42">
        <f>D18/$D$53</f>
        <v>0.0135321168</v>
      </c>
      <c r="F18" s="43" t="n">
        <v>1</v>
      </c>
    </row>
    <row r="19" ht="16" customHeight="1">
      <c r="A19" s="28" t="inlineStr">
        <is>
          <t>Investments (MF, Shares, Trading)</t>
        </is>
      </c>
      <c r="B19" s="28" t="inlineStr">
        <is>
          <t>INVESTMENT A/C</t>
        </is>
      </c>
      <c r="C19" s="28" t="inlineStr">
        <is>
          <t>ICICI SHARE TRADING A/C</t>
        </is>
      </c>
      <c r="D19" s="39" t="n">
        <v>336965.15</v>
      </c>
      <c r="E19" s="42">
        <f>D19/$D$53</f>
        <v>0.0045596238</v>
      </c>
      <c r="F19" s="43" t="n">
        <v>1</v>
      </c>
    </row>
    <row r="20" ht="16" customHeight="1">
      <c r="A20" s="28" t="inlineStr">
        <is>
          <t>Investments (MF, Shares, Trading)</t>
        </is>
      </c>
      <c r="B20" s="28" t="inlineStr">
        <is>
          <t>INVESTMENT A/C</t>
        </is>
      </c>
      <c r="C20" s="28" t="inlineStr">
        <is>
          <t>MF-DSP MULTICAP FUND REG(G)-9454104/03</t>
        </is>
      </c>
      <c r="D20" s="39" t="n">
        <v>500000</v>
      </c>
      <c r="E20" s="42">
        <f>D20/$D$53</f>
        <v>0.0067657201</v>
      </c>
      <c r="F20" s="43" t="n">
        <v>1</v>
      </c>
    </row>
    <row r="21" ht="16" customHeight="1">
      <c r="A21" s="28" t="inlineStr">
        <is>
          <t>Investments (MF, Shares, Trading)</t>
        </is>
      </c>
      <c r="B21" s="28" t="inlineStr">
        <is>
          <t>INVESTMENT A/C</t>
        </is>
      </c>
      <c r="C21" s="28" t="inlineStr">
        <is>
          <t>MF-FINVOLVE ADVISORS LLP</t>
        </is>
      </c>
      <c r="D21" s="39" t="n">
        <v>501125</v>
      </c>
      <c r="E21" s="42">
        <f>D21/$D$53</f>
        <v>0.006780943</v>
      </c>
      <c r="F21" s="43" t="n">
        <v>1</v>
      </c>
    </row>
    <row r="22" ht="16" customHeight="1">
      <c r="A22" s="28" t="inlineStr">
        <is>
          <t>Investments (MF, Shares, Trading)</t>
        </is>
      </c>
      <c r="B22" s="28" t="inlineStr">
        <is>
          <t>INVESTMENT A/C</t>
        </is>
      </c>
      <c r="C22" s="28" t="inlineStr">
        <is>
          <t>MF-ICICI PRU RETIREMENT FUND PURE-35335758</t>
        </is>
      </c>
      <c r="D22" s="39" t="n">
        <v>500000</v>
      </c>
      <c r="E22" s="42">
        <f>D22/$D$53</f>
        <v>0.0067657201</v>
      </c>
      <c r="F22" s="43" t="n">
        <v>1</v>
      </c>
    </row>
    <row r="23" ht="16" customHeight="1">
      <c r="A23" s="28" t="inlineStr">
        <is>
          <t>Investments (MF, Shares, Trading)</t>
        </is>
      </c>
      <c r="B23" s="28" t="inlineStr">
        <is>
          <t>INVESTMENT A/C</t>
        </is>
      </c>
      <c r="C23" s="28" t="inlineStr">
        <is>
          <t>MF-ITI LARGE &amp; MID CAP FUND REG(G)-3106333655</t>
        </is>
      </c>
      <c r="D23" s="39" t="n">
        <v>2000000</v>
      </c>
      <c r="E23" s="42">
        <f>D23/$D$53</f>
        <v>0.0270628804</v>
      </c>
      <c r="F23" s="43" t="n">
        <v>1</v>
      </c>
    </row>
    <row r="24" ht="16" customHeight="1">
      <c r="A24" s="28" t="inlineStr">
        <is>
          <t>Investments (MF, Shares, Trading)</t>
        </is>
      </c>
      <c r="B24" s="28" t="inlineStr">
        <is>
          <t>INVESTMENT A/C</t>
        </is>
      </c>
      <c r="C24" s="28" t="inlineStr">
        <is>
          <t>MF-JM SMALL CAP FUND REG(G)-77716223664</t>
        </is>
      </c>
      <c r="D24" s="39" t="n">
        <v>500000</v>
      </c>
      <c r="E24" s="42">
        <f>D24/$D$53</f>
        <v>0.0067657201</v>
      </c>
      <c r="F24" s="43" t="n">
        <v>1</v>
      </c>
    </row>
    <row r="25" ht="16" customHeight="1">
      <c r="A25" s="28" t="inlineStr">
        <is>
          <t>Investments (MF, Shares, Trading)</t>
        </is>
      </c>
      <c r="B25" s="28" t="inlineStr">
        <is>
          <t>INVESTMENT A/C</t>
        </is>
      </c>
      <c r="C25" s="28" t="inlineStr">
        <is>
          <t>MF-RELIANCE INFRA</t>
        </is>
      </c>
      <c r="D25" s="39" t="n">
        <v>5000</v>
      </c>
      <c r="E25" s="42">
        <f>D25/$D$53</f>
        <v>0.0000676572</v>
      </c>
      <c r="F25" s="43" t="n">
        <v>1</v>
      </c>
    </row>
    <row r="26" ht="16" customHeight="1">
      <c r="A26" s="28" t="inlineStr">
        <is>
          <t>Investments (MF, Shares, Trading)</t>
        </is>
      </c>
      <c r="B26" s="28" t="inlineStr">
        <is>
          <t>INVESTMENT A/C</t>
        </is>
      </c>
      <c r="C26" s="28" t="inlineStr">
        <is>
          <t>MF-TATA BUSINESS CYCLE FUND REG(G)-11809850/88</t>
        </is>
      </c>
      <c r="D26" s="39" t="n">
        <v>500000</v>
      </c>
      <c r="E26" s="42">
        <f>D26/$D$53</f>
        <v>0.0067657201</v>
      </c>
      <c r="F26" s="43" t="n">
        <v>1</v>
      </c>
    </row>
    <row r="27" ht="16" customHeight="1">
      <c r="A27" s="28" t="inlineStr">
        <is>
          <t>Investments (MF, Shares, Trading)</t>
        </is>
      </c>
      <c r="B27" s="28" t="inlineStr">
        <is>
          <t>INVESTMENT A/C</t>
        </is>
      </c>
      <c r="C27" s="28" t="inlineStr">
        <is>
          <t>MF-UNION INNOVATION &amp; OPPORTUNITIES-10995417</t>
        </is>
      </c>
      <c r="D27" s="39" t="n">
        <v>500000</v>
      </c>
      <c r="E27" s="42">
        <f>D27/$D$53</f>
        <v>0.0067657201</v>
      </c>
      <c r="F27" s="43" t="n">
        <v>1</v>
      </c>
    </row>
    <row r="28" ht="16" customHeight="1">
      <c r="A28" s="28" t="inlineStr">
        <is>
          <t>Investments (MF, Shares, Trading)</t>
        </is>
      </c>
      <c r="B28" s="28" t="inlineStr">
        <is>
          <t>INVESTMENT A/C</t>
        </is>
      </c>
      <c r="C28" s="28" t="inlineStr">
        <is>
          <t>SIP-ICICI PRUD.MF(10000/-)A/C-(24864594)</t>
        </is>
      </c>
      <c r="D28" s="39" t="n">
        <v>180000</v>
      </c>
      <c r="E28" s="42">
        <f>D28/$D$53</f>
        <v>0.0024356592</v>
      </c>
      <c r="F28" s="43" t="n">
        <v>1</v>
      </c>
    </row>
    <row r="29" ht="16" customHeight="1">
      <c r="A29" s="28" t="inlineStr">
        <is>
          <t>Investments (MF, Shares, Trading)</t>
        </is>
      </c>
      <c r="B29" s="28" t="inlineStr">
        <is>
          <t>INVESTMENT A/C</t>
        </is>
      </c>
      <c r="C29" s="28" t="inlineStr">
        <is>
          <t>SIP-ICICI PRUD.MF(5000/-)A/C-OLD</t>
        </is>
      </c>
      <c r="D29" s="39" t="n">
        <v>45000</v>
      </c>
      <c r="E29" s="42">
        <f>D29/$D$53</f>
        <v>0.0006089148</v>
      </c>
      <c r="F29" s="43" t="n">
        <v>1</v>
      </c>
    </row>
    <row r="30" ht="16" customHeight="1">
      <c r="A30" s="28" t="inlineStr">
        <is>
          <t>Deposits &amp; Fixed Deposits</t>
        </is>
      </c>
      <c r="B30" s="28" t="inlineStr">
        <is>
          <t>ASSETS A/C</t>
        </is>
      </c>
      <c r="C30" s="28" t="inlineStr">
        <is>
          <t>GSPC GAS</t>
        </is>
      </c>
      <c r="D30" s="39" t="n">
        <v>5000</v>
      </c>
      <c r="E30" s="42">
        <f>D30/$D$53</f>
        <v>0.0000676572</v>
      </c>
      <c r="F30" s="43" t="n">
        <v>1</v>
      </c>
    </row>
    <row r="31" ht="16" customHeight="1">
      <c r="A31" s="28" t="inlineStr">
        <is>
          <t>Deposits &amp; Fixed Deposits</t>
        </is>
      </c>
      <c r="B31" s="28" t="inlineStr">
        <is>
          <t>ASSETS A/C</t>
        </is>
      </c>
      <c r="C31" s="28" t="inlineStr">
        <is>
          <t>SHOP RENT DEPOSIT</t>
        </is>
      </c>
      <c r="D31" s="39" t="n">
        <v>50000</v>
      </c>
      <c r="E31" s="42">
        <f>D31/$D$53</f>
        <v>0.000676572</v>
      </c>
      <c r="F31" s="43" t="n">
        <v>1</v>
      </c>
    </row>
    <row r="32" ht="16" customHeight="1">
      <c r="A32" s="28" t="inlineStr">
        <is>
          <t>Deposits &amp; Fixed Deposits</t>
        </is>
      </c>
      <c r="B32" s="28" t="inlineStr">
        <is>
          <t>INVESTMENT A/C</t>
        </is>
      </c>
      <c r="C32" s="28" t="inlineStr">
        <is>
          <t>ICICI BANK F.D.(704813000008)A/C</t>
        </is>
      </c>
      <c r="D32" s="39" t="n">
        <v>54799</v>
      </c>
      <c r="E32" s="42">
        <f>D32/$D$53</f>
        <v>0.0007415094</v>
      </c>
      <c r="F32" s="43" t="n">
        <v>1</v>
      </c>
    </row>
    <row r="33" ht="16" customHeight="1">
      <c r="A33" s="28" t="inlineStr">
        <is>
          <t>Deposits &amp; Fixed Deposits</t>
        </is>
      </c>
      <c r="B33" s="28" t="inlineStr">
        <is>
          <t>DEPOSIT A/C</t>
        </is>
      </c>
      <c r="C33" s="28" t="inlineStr">
        <is>
          <t>DGVCL DEPOSIT</t>
        </is>
      </c>
      <c r="D33" s="39" t="n">
        <v>108809.52</v>
      </c>
      <c r="E33" s="42">
        <f>D33/$D$53</f>
        <v>0.0014723495</v>
      </c>
      <c r="F33" s="43" t="n">
        <v>2</v>
      </c>
    </row>
    <row r="34" ht="16" customHeight="1">
      <c r="A34" s="28" t="inlineStr">
        <is>
          <t>Loans &amp; Advances Given</t>
        </is>
      </c>
      <c r="B34" s="28" t="inlineStr">
        <is>
          <t>LOAN &amp; ADVANCES A/C</t>
        </is>
      </c>
      <c r="C34" s="28" t="inlineStr">
        <is>
          <t>BHAVIN BHAGWANJI VACHHANI</t>
        </is>
      </c>
      <c r="D34" s="39" t="n">
        <v>250000</v>
      </c>
      <c r="E34" s="42">
        <f>D34/$D$53</f>
        <v>0.0033828601</v>
      </c>
      <c r="F34" s="43" t="n">
        <v>1</v>
      </c>
    </row>
    <row r="35" ht="16" customHeight="1">
      <c r="A35" s="28" t="inlineStr">
        <is>
          <t>Loans &amp; Advances Given</t>
        </is>
      </c>
      <c r="B35" s="28" t="inlineStr">
        <is>
          <t>LOAN &amp; ADVANCES A/C</t>
        </is>
      </c>
      <c r="C35" s="28" t="inlineStr">
        <is>
          <t>DEEPAK SHUKLA</t>
        </is>
      </c>
      <c r="D35" s="39" t="n">
        <v>100000</v>
      </c>
      <c r="E35" s="42">
        <f>D35/$D$53</f>
        <v>0.001353144</v>
      </c>
      <c r="F35" s="43" t="n">
        <v>1</v>
      </c>
    </row>
    <row r="36" ht="16" customHeight="1">
      <c r="A36" s="28" t="inlineStr">
        <is>
          <t>Loans &amp; Advances Given</t>
        </is>
      </c>
      <c r="B36" s="28" t="inlineStr">
        <is>
          <t>LOAN &amp; ADVANCES A/C</t>
        </is>
      </c>
      <c r="C36" s="28" t="inlineStr">
        <is>
          <t>DIPAN SHAH</t>
        </is>
      </c>
      <c r="D36" s="39" t="n">
        <v>27000</v>
      </c>
      <c r="E36" s="42">
        <f>D36/$D$53</f>
        <v>0.0003653489</v>
      </c>
      <c r="F36" s="43" t="n">
        <v>1</v>
      </c>
    </row>
    <row r="37" ht="16" customHeight="1">
      <c r="A37" s="28" t="inlineStr">
        <is>
          <t>Loans &amp; Advances Given</t>
        </is>
      </c>
      <c r="B37" s="28" t="inlineStr">
        <is>
          <t>LOAN &amp; ADVANCES A/C</t>
        </is>
      </c>
      <c r="C37" s="28" t="inlineStr">
        <is>
          <t>DRIV TRUKING</t>
        </is>
      </c>
      <c r="D37" s="39" t="n">
        <v>40259259</v>
      </c>
      <c r="E37" s="42">
        <f>D37/$D$53</f>
        <v>0.5447657558</v>
      </c>
      <c r="F37" s="43" t="n">
        <v>2</v>
      </c>
    </row>
    <row r="38" ht="16" customHeight="1">
      <c r="A38" s="28" t="inlineStr">
        <is>
          <t>Loans &amp; Advances Given</t>
        </is>
      </c>
      <c r="B38" s="28" t="inlineStr">
        <is>
          <t>LOAN &amp; ADVANCES A/C</t>
        </is>
      </c>
      <c r="C38" s="28" t="inlineStr">
        <is>
          <t>ECO TURBO</t>
        </is>
      </c>
      <c r="D38" s="39" t="n">
        <v>3521851.18</v>
      </c>
      <c r="E38" s="42">
        <f>D38/$D$53</f>
        <v>0.0476557186</v>
      </c>
      <c r="F38" s="43" t="n">
        <v>2</v>
      </c>
    </row>
    <row r="39" ht="16" customHeight="1">
      <c r="A39" s="28" t="inlineStr">
        <is>
          <t>Loans &amp; Advances Given</t>
        </is>
      </c>
      <c r="B39" s="28" t="inlineStr">
        <is>
          <t>LOAN &amp; ADVANCES A/C</t>
        </is>
      </c>
      <c r="C39" s="28" t="inlineStr">
        <is>
          <t>H.T.DIESELS</t>
        </is>
      </c>
      <c r="D39" s="39" t="n">
        <v>1770362</v>
      </c>
      <c r="E39" s="42">
        <f>D39/$D$53</f>
        <v>0.0239555475</v>
      </c>
      <c r="F39" s="43" t="n">
        <v>2</v>
      </c>
    </row>
    <row r="40" ht="16" customHeight="1">
      <c r="A40" s="28" t="inlineStr">
        <is>
          <t>Loans &amp; Advances Given</t>
        </is>
      </c>
      <c r="B40" s="28" t="inlineStr">
        <is>
          <t>LOAN &amp; ADVANCES A/C</t>
        </is>
      </c>
      <c r="C40" s="28" t="inlineStr">
        <is>
          <t>MUKTABEN SHANTILAL SAKARIYA (LOAN)</t>
        </is>
      </c>
      <c r="D40" s="39" t="n">
        <v>500000</v>
      </c>
      <c r="E40" s="42">
        <f>D40/$D$53</f>
        <v>0.0067657201</v>
      </c>
      <c r="F40" s="43" t="n">
        <v>2</v>
      </c>
    </row>
    <row r="41" ht="16" customHeight="1">
      <c r="A41" s="28" t="inlineStr">
        <is>
          <t>Loans &amp; Advances Given</t>
        </is>
      </c>
      <c r="B41" s="28" t="inlineStr">
        <is>
          <t>LOAN &amp; ADVANCES A/C</t>
        </is>
      </c>
      <c r="C41" s="28" t="inlineStr">
        <is>
          <t>PRAMUKH CREATION</t>
        </is>
      </c>
      <c r="D41" s="39" t="n">
        <v>1000000</v>
      </c>
      <c r="E41" s="42">
        <f>D41/$D$53</f>
        <v>0.0135314402</v>
      </c>
      <c r="F41" s="43" t="n">
        <v>2</v>
      </c>
    </row>
    <row r="42" ht="16" customHeight="1">
      <c r="A42" s="28" t="inlineStr">
        <is>
          <t>Loans &amp; Advances Given</t>
        </is>
      </c>
      <c r="B42" s="28" t="inlineStr">
        <is>
          <t>LOAN &amp; ADVANCES A/C</t>
        </is>
      </c>
      <c r="C42" s="28" t="inlineStr">
        <is>
          <t>RINKESH R NAIK</t>
        </is>
      </c>
      <c r="D42" s="39" t="n">
        <v>250000</v>
      </c>
      <c r="E42" s="42">
        <f>D42/$D$53</f>
        <v>0.0033828601</v>
      </c>
      <c r="F42" s="43" t="n">
        <v>2</v>
      </c>
    </row>
    <row r="43" ht="16" customHeight="1">
      <c r="A43" s="28" t="inlineStr">
        <is>
          <t>Loans &amp; Advances Given</t>
        </is>
      </c>
      <c r="B43" s="28" t="inlineStr">
        <is>
          <t>LOAN &amp; ADVANCES A/C</t>
        </is>
      </c>
      <c r="C43" s="28" t="inlineStr">
        <is>
          <t>THAY TECHWORKS PVT LTD</t>
        </is>
      </c>
      <c r="D43" s="39" t="n">
        <v>150000</v>
      </c>
      <c r="E43" s="42">
        <f>D43/$D$53</f>
        <v>0.002029716</v>
      </c>
      <c r="F43" s="43" t="n">
        <v>2</v>
      </c>
    </row>
    <row r="44" ht="16" customHeight="1">
      <c r="A44" s="28" t="inlineStr">
        <is>
          <t>Loans &amp; Advances Given</t>
        </is>
      </c>
      <c r="B44" s="28" t="inlineStr">
        <is>
          <t>UN-SECURED LOAN A/C</t>
        </is>
      </c>
      <c r="C44" s="28" t="inlineStr">
        <is>
          <t>TECHNO</t>
        </is>
      </c>
      <c r="D44" s="39" t="n">
        <v>50000</v>
      </c>
      <c r="E44" s="42">
        <f>D44/$D$53</f>
        <v>0.000676572</v>
      </c>
      <c r="F44" s="43" t="n">
        <v>2</v>
      </c>
    </row>
    <row r="45" ht="16" customHeight="1">
      <c r="A45" s="28" t="inlineStr">
        <is>
          <t>Receivables &amp; Tax Recoverable</t>
        </is>
      </c>
      <c r="B45" s="28" t="inlineStr">
        <is>
          <t>SUNDRY DEBTORS/CREDITORS A/C</t>
        </is>
      </c>
      <c r="C45" s="28" t="inlineStr">
        <is>
          <t>DIESEL WORLD PRIVATE LIMITED (SALARY) A/C</t>
        </is>
      </c>
      <c r="D45" s="39" t="n">
        <v>176938</v>
      </c>
      <c r="E45" s="42">
        <f>D45/$D$53</f>
        <v>0.002394226</v>
      </c>
      <c r="F45" s="43" t="n">
        <v>2</v>
      </c>
    </row>
    <row r="46" ht="16" customHeight="1">
      <c r="A46" s="28" t="inlineStr">
        <is>
          <t>Receivables &amp; Tax Recoverable</t>
        </is>
      </c>
      <c r="B46" s="28" t="inlineStr">
        <is>
          <t>PROVISION A/C</t>
        </is>
      </c>
      <c r="C46" s="28" t="inlineStr">
        <is>
          <t>PROFESSIONAL TAX A/C</t>
        </is>
      </c>
      <c r="D46" s="39" t="n">
        <v>1000</v>
      </c>
      <c r="E46" s="42">
        <f>D46/$D$53</f>
        <v>0.0000135314</v>
      </c>
      <c r="F46" s="43" t="n">
        <v>2</v>
      </c>
    </row>
    <row r="47" ht="16" customHeight="1">
      <c r="A47" s="28" t="inlineStr">
        <is>
          <t>Receivables &amp; Tax Recoverable</t>
        </is>
      </c>
      <c r="B47" s="28" t="inlineStr">
        <is>
          <t>PROVISION A/C</t>
        </is>
      </c>
      <c r="C47" s="28" t="inlineStr">
        <is>
          <t>T.D.S. A/C</t>
        </is>
      </c>
      <c r="D47" s="39" t="n">
        <v>200000</v>
      </c>
      <c r="E47" s="42">
        <f>D47/$D$53</f>
        <v>0.002706288</v>
      </c>
      <c r="F47" s="43" t="n">
        <v>2</v>
      </c>
    </row>
    <row r="48" ht="16" customHeight="1">
      <c r="A48" s="28" t="inlineStr">
        <is>
          <t>Cash &amp; Bank Balances</t>
        </is>
      </c>
      <c r="B48" s="28" t="inlineStr">
        <is>
          <t>BANK BOOK A/C</t>
        </is>
      </c>
      <c r="C48" s="28" t="inlineStr">
        <is>
          <t>BOB BANK SB-06000100003185(KALIAWADI)</t>
        </is>
      </c>
      <c r="D48" s="39" t="n">
        <v>77819.78999999999</v>
      </c>
      <c r="E48" s="42">
        <f>D48/$D$53</f>
        <v>0.0010530138</v>
      </c>
      <c r="F48" s="43" t="n">
        <v>2</v>
      </c>
    </row>
    <row r="49" ht="16" customHeight="1">
      <c r="A49" s="28" t="inlineStr">
        <is>
          <t>Cash &amp; Bank Balances</t>
        </is>
      </c>
      <c r="B49" s="28" t="inlineStr">
        <is>
          <t>BANK BOOK A/C</t>
        </is>
      </c>
      <c r="C49" s="28" t="inlineStr">
        <is>
          <t>HDFC BANK SB -50100282780877</t>
        </is>
      </c>
      <c r="D49" s="39" t="n">
        <v>16333.12</v>
      </c>
      <c r="E49" s="42">
        <f>D49/$D$53</f>
        <v>0.0002210106</v>
      </c>
      <c r="F49" s="43" t="n">
        <v>2</v>
      </c>
    </row>
    <row r="50" ht="16" customHeight="1">
      <c r="A50" s="28" t="inlineStr">
        <is>
          <t>Cash &amp; Bank Balances</t>
        </is>
      </c>
      <c r="B50" s="28" t="inlineStr">
        <is>
          <t>BANK BOOK A/C</t>
        </is>
      </c>
      <c r="C50" s="28" t="inlineStr">
        <is>
          <t>ICICI BANK SB-704801500015 (LO)</t>
        </is>
      </c>
      <c r="D50" s="39" t="n">
        <v>17415</v>
      </c>
      <c r="E50" s="42">
        <f>D50/$D$53</f>
        <v>0.00023565</v>
      </c>
      <c r="F50" s="43" t="n">
        <v>2</v>
      </c>
    </row>
    <row r="51" ht="16" customHeight="1">
      <c r="A51" s="28" t="inlineStr">
        <is>
          <t>Cash &amp; Bank Balances</t>
        </is>
      </c>
      <c r="B51" s="28" t="inlineStr">
        <is>
          <t>BANK BOOK A/C</t>
        </is>
      </c>
      <c r="C51" s="28" t="inlineStr">
        <is>
          <t>ICICI BANK SB-777701047155</t>
        </is>
      </c>
      <c r="D51" s="39" t="n">
        <v>1406145.97</v>
      </c>
      <c r="E51" s="42">
        <f>D51/$D$53</f>
        <v>0.0190271801</v>
      </c>
      <c r="F51" s="43" t="n">
        <v>2</v>
      </c>
    </row>
    <row r="52" ht="16" customHeight="1">
      <c r="A52" s="28" t="inlineStr">
        <is>
          <t>Cash &amp; Bank Balances</t>
        </is>
      </c>
      <c r="B52" s="28" t="inlineStr">
        <is>
          <t>BANK BOOK A/C</t>
        </is>
      </c>
      <c r="C52" s="28" t="inlineStr">
        <is>
          <t>ICICI BANK(YOG V PATEL-SB-777701057255)A/C</t>
        </is>
      </c>
      <c r="D52" s="39" t="n">
        <v>200354</v>
      </c>
      <c r="E52" s="42">
        <f>D52/$D$53</f>
        <v>0.0027110782</v>
      </c>
      <c r="F52" s="43" t="n">
        <v>2</v>
      </c>
    </row>
    <row r="53">
      <c r="A53" s="24" t="inlineStr">
        <is>
          <t>TOTAL ASSETS</t>
        </is>
      </c>
      <c r="B53" s="24" t="n"/>
      <c r="C53" s="24" t="n"/>
      <c r="D53" s="25">
        <f>SUM(D5:D52)</f>
        <v>73901963.5</v>
      </c>
      <c r="E53" s="26">
        <f>SUM(E5:E52)</f>
        <v>1</v>
      </c>
      <c r="F53" s="24" t="n"/>
    </row>
    <row r="55" ht="20" customHeight="1">
      <c r="A55" s="34" t="inlineStr">
        <is>
          <t>RECONCILIATION TO THE SOURCE BALANCE SHEET GROUPS</t>
        </is>
      </c>
      <c r="B55" s="35" t="n"/>
      <c r="C55" s="35" t="n"/>
      <c r="D55" s="35" t="n"/>
      <c r="E55" s="35" t="n"/>
      <c r="F55" s="35" t="n"/>
    </row>
    <row r="56" ht="28" customHeight="1">
      <c r="A56" s="12" t="inlineStr">
        <is>
          <t>Source Group</t>
        </is>
      </c>
      <c r="B56" s="12" t="inlineStr">
        <is>
          <t>Group Total (PDF)</t>
        </is>
      </c>
      <c r="C56" s="12" t="inlineStr">
        <is>
          <t>Sum of Lines (above)</t>
        </is>
      </c>
      <c r="D56" s="12" t="inlineStr">
        <is>
          <t>Difference</t>
        </is>
      </c>
      <c r="E56" s="12" t="inlineStr">
        <is>
          <t>Accounts</t>
        </is>
      </c>
      <c r="F56" s="12" t="inlineStr">
        <is>
          <t>Page(s)</t>
        </is>
      </c>
    </row>
    <row r="57">
      <c r="A57" s="28" t="inlineStr">
        <is>
          <t>ASSETS A/C</t>
        </is>
      </c>
      <c r="B57" s="39" t="n">
        <v>17075736.77</v>
      </c>
      <c r="C57" s="39">
        <f>SUMIF($B$5:$B$52,A57,$D$5:$D$52)</f>
        <v>17075736.7699999996</v>
      </c>
      <c r="D57" s="39">
        <f>C57-B57</f>
        <v>0</v>
      </c>
      <c r="E57" s="43" t="n">
        <v>12</v>
      </c>
      <c r="F57" s="43" t="inlineStr">
        <is>
          <t>1</t>
        </is>
      </c>
    </row>
    <row r="58">
      <c r="A58" s="28" t="inlineStr">
        <is>
          <t>INVESTMENT A/C</t>
        </is>
      </c>
      <c r="B58" s="39" t="n">
        <v>6742939.15</v>
      </c>
      <c r="C58" s="39">
        <f>SUMIF($B$5:$B$52,A58,$D$5:$D$52)</f>
        <v>6742939.1500000004</v>
      </c>
      <c r="D58" s="39">
        <f>C58-B58</f>
        <v>0</v>
      </c>
      <c r="E58" s="43" t="n">
        <v>16</v>
      </c>
      <c r="F58" s="43" t="inlineStr">
        <is>
          <t>1</t>
        </is>
      </c>
    </row>
    <row r="59">
      <c r="A59" s="28" t="inlineStr">
        <is>
          <t>LOAN &amp; ADVANCES A/C</t>
        </is>
      </c>
      <c r="B59" s="39" t="n">
        <v>47828472.18</v>
      </c>
      <c r="C59" s="39">
        <f>SUMIF($B$5:$B$52,A59,$D$5:$D$52)</f>
        <v>47828472.1799999997</v>
      </c>
      <c r="D59" s="39">
        <f>C59-B59</f>
        <v>0</v>
      </c>
      <c r="E59" s="43" t="n">
        <v>10</v>
      </c>
      <c r="F59" s="43" t="inlineStr">
        <is>
          <t>1, 2</t>
        </is>
      </c>
    </row>
    <row r="60">
      <c r="A60" s="28" t="inlineStr">
        <is>
          <t>SUNDRY DEBTORS/CREDITORS A/C</t>
        </is>
      </c>
      <c r="B60" s="39" t="n">
        <v>176938</v>
      </c>
      <c r="C60" s="39">
        <f>SUMIF($B$5:$B$52,A60,$D$5:$D$52)</f>
        <v>176938</v>
      </c>
      <c r="D60" s="39">
        <f>C60-B60</f>
        <v>0</v>
      </c>
      <c r="E60" s="43" t="n">
        <v>1</v>
      </c>
      <c r="F60" s="43" t="inlineStr">
        <is>
          <t>2</t>
        </is>
      </c>
    </row>
    <row r="61">
      <c r="A61" s="28" t="inlineStr">
        <is>
          <t>DEPOSIT A/C</t>
        </is>
      </c>
      <c r="B61" s="39" t="n">
        <v>108809.52</v>
      </c>
      <c r="C61" s="39">
        <f>SUMIF($B$5:$B$52,A61,$D$5:$D$52)</f>
        <v>108809.52</v>
      </c>
      <c r="D61" s="39">
        <f>C61-B61</f>
        <v>0</v>
      </c>
      <c r="E61" s="43" t="n">
        <v>1</v>
      </c>
      <c r="F61" s="43" t="inlineStr">
        <is>
          <t>2</t>
        </is>
      </c>
    </row>
    <row r="62">
      <c r="A62" s="28" t="inlineStr">
        <is>
          <t>BANK BOOK A/C</t>
        </is>
      </c>
      <c r="B62" s="39" t="n">
        <v>1718067.88</v>
      </c>
      <c r="C62" s="39">
        <f>SUMIF($B$5:$B$52,A62,$D$5:$D$52)</f>
        <v>1718067.8799999999</v>
      </c>
      <c r="D62" s="39">
        <f>C62-B62</f>
        <v>0</v>
      </c>
      <c r="E62" s="43" t="n">
        <v>5</v>
      </c>
      <c r="F62" s="43" t="inlineStr">
        <is>
          <t>2</t>
        </is>
      </c>
    </row>
    <row r="63">
      <c r="A63" s="28" t="inlineStr">
        <is>
          <t>UN-SECURED LOAN A/C</t>
        </is>
      </c>
      <c r="B63" s="39" t="n">
        <v>50000</v>
      </c>
      <c r="C63" s="39">
        <f>SUMIF($B$5:$B$52,A63,$D$5:$D$52)</f>
        <v>50000</v>
      </c>
      <c r="D63" s="39">
        <f>C63-B63</f>
        <v>0</v>
      </c>
      <c r="E63" s="43" t="n">
        <v>1</v>
      </c>
      <c r="F63" s="43" t="inlineStr">
        <is>
          <t>2</t>
        </is>
      </c>
    </row>
    <row r="64">
      <c r="A64" s="28" t="inlineStr">
        <is>
          <t>PROVISION A/C</t>
        </is>
      </c>
      <c r="B64" s="39" t="n">
        <v>201000</v>
      </c>
      <c r="C64" s="39">
        <f>SUMIF($B$5:$B$52,A64,$D$5:$D$52)</f>
        <v>201000</v>
      </c>
      <c r="D64" s="39">
        <f>C64-B64</f>
        <v>0</v>
      </c>
      <c r="E64" s="43" t="n">
        <v>2</v>
      </c>
      <c r="F64" s="43" t="inlineStr">
        <is>
          <t>2</t>
        </is>
      </c>
    </row>
  </sheetData>
  <autoFilter ref="A4:F52"/>
  <mergeCells count="2">
    <mergeCell ref="A2:F2"/>
    <mergeCell ref="A1:F1"/>
  </mergeCells>
  <pageMargins left="0.3" right="0.3" top="0.45" bottom="0.4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B8860B"/>
    <outlinePr summaryBelow="1" summaryRight="1"/>
    <pageSetUpPr fitToPage="1"/>
  </sheetPr>
  <dimension ref="A1:F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8" customWidth="1" min="3" max="3"/>
    <col width="52" customWidth="1" min="4" max="4"/>
    <col width="20" customWidth="1" min="5" max="5"/>
    <col width="12" customWidth="1" min="6" max="6"/>
  </cols>
  <sheetData>
    <row r="1" ht="30" customHeight="1">
      <c r="A1" s="32" t="inlineStr">
        <is>
          <t>LIABILITIES &amp; EQUITY — DETAILED SCHEDULE</t>
        </is>
      </c>
      <c r="B1" s="2" t="n"/>
      <c r="C1" s="2" t="n"/>
      <c r="D1" s="2" t="n"/>
      <c r="E1" s="2" t="n"/>
      <c r="F1" s="2" t="n"/>
    </row>
    <row r="2">
      <c r="A2" s="41" t="inlineStr">
        <is>
          <t>VIPULBHAI LALJIBHAI PATEL   |   As on 10/09/2026   |   Amounts in INR (₹)   |   Source: Liabilities side of the Balance Sheet</t>
        </is>
      </c>
    </row>
    <row r="4" ht="28" customHeight="1">
      <c r="A4" s="12" t="inlineStr">
        <is>
          <t>Classification</t>
        </is>
      </c>
      <c r="B4" s="12" t="inlineStr">
        <is>
          <t>Category</t>
        </is>
      </c>
      <c r="C4" s="12" t="inlineStr">
        <is>
          <t>Source Group (B/S)</t>
        </is>
      </c>
      <c r="D4" s="12" t="inlineStr">
        <is>
          <t>Account / Particulars</t>
        </is>
      </c>
      <c r="E4" s="12" t="inlineStr">
        <is>
          <t>Amount (₹)</t>
        </is>
      </c>
      <c r="F4" s="12" t="inlineStr">
        <is>
          <t>Source Page</t>
        </is>
      </c>
    </row>
    <row r="5" ht="16" customHeight="1">
      <c r="A5" s="28" t="inlineStr">
        <is>
          <t>External Liability</t>
        </is>
      </c>
      <c r="B5" s="28" t="inlineStr">
        <is>
          <t>Secured Loans (Housing)</t>
        </is>
      </c>
      <c r="C5" s="28" t="inlineStr">
        <is>
          <t>SECURED LOAN A/C</t>
        </is>
      </c>
      <c r="D5" s="28" t="inlineStr">
        <is>
          <t>BOB HOUSIONG LOAN</t>
        </is>
      </c>
      <c r="E5" s="39" t="n">
        <v>755798.5</v>
      </c>
      <c r="F5" s="43" t="n">
        <v>1</v>
      </c>
    </row>
    <row r="6" ht="16" customHeight="1">
      <c r="A6" s="28" t="inlineStr">
        <is>
          <t>External Liability</t>
        </is>
      </c>
      <c r="B6" s="28" t="inlineStr">
        <is>
          <t>Unsecured Loans &amp; Borrowings</t>
        </is>
      </c>
      <c r="C6" s="28" t="inlineStr">
        <is>
          <t>LOAN &amp; ADVANCES A/C</t>
        </is>
      </c>
      <c r="D6" s="28" t="inlineStr">
        <is>
          <t>AKSHAR DIESELS-NAVSARI</t>
        </is>
      </c>
      <c r="E6" s="39" t="n">
        <v>6855754</v>
      </c>
      <c r="F6" s="43" t="n">
        <v>1</v>
      </c>
    </row>
    <row r="7" ht="16" customHeight="1">
      <c r="A7" s="28" t="inlineStr">
        <is>
          <t>External Liability</t>
        </is>
      </c>
      <c r="B7" s="28" t="inlineStr">
        <is>
          <t>Unsecured Loans &amp; Borrowings</t>
        </is>
      </c>
      <c r="C7" s="28" t="inlineStr">
        <is>
          <t>LOAN &amp; ADVANCES A/C</t>
        </is>
      </c>
      <c r="D7" s="28" t="inlineStr">
        <is>
          <t>ANAND JESWANI/ANAND HARI GOVIND</t>
        </is>
      </c>
      <c r="E7" s="39" t="n">
        <v>10500000</v>
      </c>
      <c r="F7" s="43" t="n">
        <v>1</v>
      </c>
    </row>
    <row r="8" ht="16" customHeight="1">
      <c r="A8" s="28" t="inlineStr">
        <is>
          <t>External Liability</t>
        </is>
      </c>
      <c r="B8" s="28" t="inlineStr">
        <is>
          <t>Unsecured Loans &amp; Borrowings</t>
        </is>
      </c>
      <c r="C8" s="28" t="inlineStr">
        <is>
          <t>LOAN &amp; ADVANCES A/C</t>
        </is>
      </c>
      <c r="D8" s="28" t="inlineStr">
        <is>
          <t>BABU BAVANAJI KANARA</t>
        </is>
      </c>
      <c r="E8" s="39" t="n">
        <v>100000</v>
      </c>
      <c r="F8" s="43" t="n">
        <v>1</v>
      </c>
    </row>
    <row r="9" ht="16" customHeight="1">
      <c r="A9" s="28" t="inlineStr">
        <is>
          <t>External Liability</t>
        </is>
      </c>
      <c r="B9" s="28" t="inlineStr">
        <is>
          <t>Unsecured Loans &amp; Borrowings</t>
        </is>
      </c>
      <c r="C9" s="28" t="inlineStr">
        <is>
          <t>LOAN &amp; ADVANCES A/C</t>
        </is>
      </c>
      <c r="D9" s="28" t="inlineStr">
        <is>
          <t>JALPABEN VIPULBHAI PATEL</t>
        </is>
      </c>
      <c r="E9" s="39" t="n">
        <v>4537126.5</v>
      </c>
      <c r="F9" s="43" t="n">
        <v>1</v>
      </c>
    </row>
    <row r="10" ht="16" customHeight="1">
      <c r="A10" s="28" t="inlineStr">
        <is>
          <t>External Liability</t>
        </is>
      </c>
      <c r="B10" s="28" t="inlineStr">
        <is>
          <t>Unsecured Loans &amp; Borrowings</t>
        </is>
      </c>
      <c r="C10" s="28" t="inlineStr">
        <is>
          <t>LOAN &amp; ADVANCES A/C</t>
        </is>
      </c>
      <c r="D10" s="28" t="inlineStr">
        <is>
          <t>LALJIBHAI G KHATRA</t>
        </is>
      </c>
      <c r="E10" s="39" t="n">
        <v>9724517.01</v>
      </c>
      <c r="F10" s="43" t="n">
        <v>1</v>
      </c>
    </row>
    <row r="11" ht="16" customHeight="1">
      <c r="A11" s="28" t="inlineStr">
        <is>
          <t>External Liability</t>
        </is>
      </c>
      <c r="B11" s="28" t="inlineStr">
        <is>
          <t>Unsecured Loans &amp; Borrowings</t>
        </is>
      </c>
      <c r="C11" s="28" t="inlineStr">
        <is>
          <t>LOAN &amp; ADVANCES A/C</t>
        </is>
      </c>
      <c r="D11" s="28" t="inlineStr">
        <is>
          <t>PARESHBHAI MAVJIBHAI PATEL</t>
        </is>
      </c>
      <c r="E11" s="39" t="n">
        <v>5000000</v>
      </c>
      <c r="F11" s="43" t="n">
        <v>1</v>
      </c>
    </row>
    <row r="12" ht="16" customHeight="1">
      <c r="A12" s="28" t="inlineStr">
        <is>
          <t>External Liability</t>
        </is>
      </c>
      <c r="B12" s="28" t="inlineStr">
        <is>
          <t>Unsecured Loans &amp; Borrowings</t>
        </is>
      </c>
      <c r="C12" s="28" t="inlineStr">
        <is>
          <t>LOAN &amp; ADVANCES A/C</t>
        </is>
      </c>
      <c r="D12" s="28" t="inlineStr">
        <is>
          <t>RAMANIKBHAI GOBARBHAI THUMMAR</t>
        </is>
      </c>
      <c r="E12" s="39" t="n">
        <v>3000000</v>
      </c>
      <c r="F12" s="43" t="n">
        <v>1</v>
      </c>
    </row>
    <row r="13" ht="16" customHeight="1">
      <c r="A13" s="28" t="inlineStr">
        <is>
          <t>External Liability</t>
        </is>
      </c>
      <c r="B13" s="28" t="inlineStr">
        <is>
          <t>Unsecured Loans &amp; Borrowings</t>
        </is>
      </c>
      <c r="C13" s="28" t="inlineStr">
        <is>
          <t>LOAN &amp; ADVANCES A/C</t>
        </is>
      </c>
      <c r="D13" s="28" t="inlineStr">
        <is>
          <t>RAMNIKLAL RANCHHODBHAI RANK</t>
        </is>
      </c>
      <c r="E13" s="39" t="n">
        <v>1928000</v>
      </c>
      <c r="F13" s="43" t="n">
        <v>1</v>
      </c>
    </row>
    <row r="14" ht="16" customHeight="1">
      <c r="A14" s="28" t="inlineStr">
        <is>
          <t>External Liability</t>
        </is>
      </c>
      <c r="B14" s="28" t="inlineStr">
        <is>
          <t>Unsecured Loans &amp; Borrowings</t>
        </is>
      </c>
      <c r="C14" s="28" t="inlineStr">
        <is>
          <t>LOAN &amp; ADVANCES A/C</t>
        </is>
      </c>
      <c r="D14" s="28" t="inlineStr">
        <is>
          <t>SHREE SHALU MOTORS</t>
        </is>
      </c>
      <c r="E14" s="39" t="n">
        <v>2500000</v>
      </c>
      <c r="F14" s="43" t="n">
        <v>1</v>
      </c>
    </row>
    <row r="15" ht="16" customHeight="1">
      <c r="A15" s="28" t="inlineStr">
        <is>
          <t>External Liability</t>
        </is>
      </c>
      <c r="B15" s="28" t="inlineStr">
        <is>
          <t>Unsecured Loans &amp; Borrowings</t>
        </is>
      </c>
      <c r="C15" s="28" t="inlineStr">
        <is>
          <t>LOAN &amp; ADVANCES A/C</t>
        </is>
      </c>
      <c r="D15" s="28" t="inlineStr">
        <is>
          <t>TRUSHAR DHARMESHBHAI SORATHIYA</t>
        </is>
      </c>
      <c r="E15" s="39" t="n">
        <v>10000000</v>
      </c>
      <c r="F15" s="43" t="n">
        <v>1</v>
      </c>
    </row>
    <row r="16" ht="16" customHeight="1">
      <c r="A16" s="28" t="inlineStr">
        <is>
          <t>External Liability</t>
        </is>
      </c>
      <c r="B16" s="28" t="inlineStr">
        <is>
          <t>Unsecured Loans &amp; Borrowings</t>
        </is>
      </c>
      <c r="C16" s="28" t="inlineStr">
        <is>
          <t>UN-SECURED LOAN A/C</t>
        </is>
      </c>
      <c r="D16" s="28" t="inlineStr">
        <is>
          <t>ASHIRWAD FABRICS</t>
        </is>
      </c>
      <c r="E16" s="39" t="n">
        <v>500000</v>
      </c>
      <c r="F16" s="43" t="n">
        <v>1</v>
      </c>
    </row>
    <row r="17" ht="16" customHeight="1">
      <c r="A17" s="28" t="inlineStr">
        <is>
          <t>External Liability</t>
        </is>
      </c>
      <c r="B17" s="28" t="inlineStr">
        <is>
          <t>Unsecured Loans &amp; Borrowings</t>
        </is>
      </c>
      <c r="C17" s="28" t="inlineStr">
        <is>
          <t>UN-SECURED LOAN A/C</t>
        </is>
      </c>
      <c r="D17" s="28" t="inlineStr">
        <is>
          <t>BHAGVANJIBHAI PATEL</t>
        </is>
      </c>
      <c r="E17" s="39" t="n">
        <v>293034</v>
      </c>
      <c r="F17" s="43" t="n">
        <v>1</v>
      </c>
    </row>
    <row r="18" ht="16" customHeight="1">
      <c r="A18" s="28" t="inlineStr">
        <is>
          <t>External Liability</t>
        </is>
      </c>
      <c r="B18" s="28" t="inlineStr">
        <is>
          <t>Unsecured Loans &amp; Borrowings</t>
        </is>
      </c>
      <c r="C18" s="28" t="inlineStr">
        <is>
          <t>UN-SECURED LOAN A/C</t>
        </is>
      </c>
      <c r="D18" s="28" t="inlineStr">
        <is>
          <t>KASHMIRA FEBRICS</t>
        </is>
      </c>
      <c r="E18" s="39" t="n">
        <v>500000</v>
      </c>
      <c r="F18" s="43" t="n">
        <v>1</v>
      </c>
    </row>
    <row r="19" ht="16" customHeight="1">
      <c r="A19" s="28" t="inlineStr">
        <is>
          <t>External Liability</t>
        </is>
      </c>
      <c r="B19" s="28" t="inlineStr">
        <is>
          <t>Unsecured Loans &amp; Borrowings</t>
        </is>
      </c>
      <c r="C19" s="28" t="inlineStr">
        <is>
          <t>UN-SECURED LOAN A/C</t>
        </is>
      </c>
      <c r="D19" s="28" t="inlineStr">
        <is>
          <t>LALJI MEGHJI VAGHASIA</t>
        </is>
      </c>
      <c r="E19" s="39" t="n">
        <v>200000</v>
      </c>
      <c r="F19" s="43" t="n">
        <v>1</v>
      </c>
    </row>
    <row r="20" ht="16" customHeight="1">
      <c r="A20" s="28" t="inlineStr">
        <is>
          <t>External Liability</t>
        </is>
      </c>
      <c r="B20" s="28" t="inlineStr">
        <is>
          <t>Unsecured Loans &amp; Borrowings</t>
        </is>
      </c>
      <c r="C20" s="28" t="inlineStr">
        <is>
          <t>UN-SECURED LOAN A/C</t>
        </is>
      </c>
      <c r="D20" s="28" t="inlineStr">
        <is>
          <t>MANSHUKHBHAI R VIRANI</t>
        </is>
      </c>
      <c r="E20" s="39" t="n">
        <v>700000</v>
      </c>
      <c r="F20" s="43" t="n">
        <v>1</v>
      </c>
    </row>
    <row r="21" ht="16" customHeight="1">
      <c r="A21" s="28" t="inlineStr">
        <is>
          <t>External Liability</t>
        </is>
      </c>
      <c r="B21" s="28" t="inlineStr">
        <is>
          <t>Unsecured Loans &amp; Borrowings</t>
        </is>
      </c>
      <c r="C21" s="28" t="inlineStr">
        <is>
          <t>UN-SECURED LOAN A/C</t>
        </is>
      </c>
      <c r="D21" s="28" t="inlineStr">
        <is>
          <t>RASILABEN LALJIBHAI PATEL - MOTHER</t>
        </is>
      </c>
      <c r="E21" s="39" t="n">
        <v>160000</v>
      </c>
      <c r="F21" s="43" t="n">
        <v>1</v>
      </c>
    </row>
    <row r="22" ht="16" customHeight="1">
      <c r="A22" s="28" t="inlineStr">
        <is>
          <t>External Liability</t>
        </is>
      </c>
      <c r="B22" s="28" t="inlineStr">
        <is>
          <t>Trade Creditors &amp; Payables</t>
        </is>
      </c>
      <c r="C22" s="28" t="inlineStr">
        <is>
          <t>SUNDRY CREDITORS/DEBTORS A/C</t>
        </is>
      </c>
      <c r="D22" s="28" t="inlineStr">
        <is>
          <t>AKSHAR DIESEL CR. A/C</t>
        </is>
      </c>
      <c r="E22" s="39" t="n">
        <v>536479</v>
      </c>
      <c r="F22" s="43" t="n">
        <v>1</v>
      </c>
    </row>
    <row r="23" ht="16" customHeight="1">
      <c r="A23" s="28" t="inlineStr">
        <is>
          <t>External Liability</t>
        </is>
      </c>
      <c r="B23" s="28" t="inlineStr">
        <is>
          <t>Trade Creditors &amp; Payables</t>
        </is>
      </c>
      <c r="C23" s="28" t="inlineStr">
        <is>
          <t>SUNDRY CREDITORS/DEBTORS A/C</t>
        </is>
      </c>
      <c r="D23" s="28" t="inlineStr">
        <is>
          <t>EURO DIESEL SERVICES</t>
        </is>
      </c>
      <c r="E23" s="39" t="n">
        <v>918751</v>
      </c>
      <c r="F23" s="43" t="n">
        <v>1</v>
      </c>
    </row>
    <row r="24" ht="16" customHeight="1">
      <c r="A24" s="28" t="inlineStr">
        <is>
          <t>External Liability</t>
        </is>
      </c>
      <c r="B24" s="28" t="inlineStr">
        <is>
          <t>Trade Creditors &amp; Payables</t>
        </is>
      </c>
      <c r="C24" s="28" t="inlineStr">
        <is>
          <t>SUNDRY CREDITORS/DEBTORS A/C</t>
        </is>
      </c>
      <c r="D24" s="28" t="inlineStr">
        <is>
          <t>QINGDIO QTTO WORLD IMP</t>
        </is>
      </c>
      <c r="E24" s="39" t="n">
        <v>11640</v>
      </c>
      <c r="F24" s="43" t="n">
        <v>1</v>
      </c>
    </row>
    <row r="25" ht="16" customHeight="1">
      <c r="A25" s="28" t="inlineStr">
        <is>
          <t>External Liability</t>
        </is>
      </c>
      <c r="B25" s="28" t="inlineStr">
        <is>
          <t>Trade Creditors &amp; Payables</t>
        </is>
      </c>
      <c r="C25" s="28" t="inlineStr">
        <is>
          <t>SUNDRY CREDITORS/DEBTORS A/C</t>
        </is>
      </c>
      <c r="D25" s="28" t="inlineStr">
        <is>
          <t>SAI AUTOMATION</t>
        </is>
      </c>
      <c r="E25" s="39" t="n">
        <v>15001</v>
      </c>
      <c r="F25" s="43" t="n">
        <v>1</v>
      </c>
    </row>
    <row r="26" ht="16" customHeight="1">
      <c r="A26" s="28" t="inlineStr">
        <is>
          <t>External Liability</t>
        </is>
      </c>
      <c r="B26" s="28" t="inlineStr">
        <is>
          <t>Trade Creditors &amp; Payables</t>
        </is>
      </c>
      <c r="C26" s="28" t="inlineStr">
        <is>
          <t>SUNDRY CREDITORS/DEBTORS A/C</t>
        </is>
      </c>
      <c r="D26" s="28" t="inlineStr">
        <is>
          <t>SHIVAM TYRE &amp; BATTERY CENTRE</t>
        </is>
      </c>
      <c r="E26" s="39" t="n">
        <v>16450</v>
      </c>
      <c r="F26" s="43" t="n">
        <v>1</v>
      </c>
    </row>
    <row r="27" ht="16" customHeight="1">
      <c r="A27" s="28" t="inlineStr">
        <is>
          <t>External Liability</t>
        </is>
      </c>
      <c r="B27" s="28" t="inlineStr">
        <is>
          <t>Trade Creditors &amp; Payables</t>
        </is>
      </c>
      <c r="C27" s="28" t="inlineStr">
        <is>
          <t>SUNDRY CREDITORS/DEBTORS A/C</t>
        </is>
      </c>
      <c r="D27" s="28" t="inlineStr">
        <is>
          <t>TEKNIK DIESEL</t>
        </is>
      </c>
      <c r="E27" s="39" t="n">
        <v>400378</v>
      </c>
      <c r="F27" s="43" t="n">
        <v>1</v>
      </c>
    </row>
    <row r="28" ht="16" customHeight="1">
      <c r="A28" s="28" t="inlineStr">
        <is>
          <t>External Liability</t>
        </is>
      </c>
      <c r="B28" s="28" t="inlineStr">
        <is>
          <t>Current Liabilities</t>
        </is>
      </c>
      <c r="C28" s="28" t="inlineStr">
        <is>
          <t>CURRENT LIABILITIES A/C</t>
        </is>
      </c>
      <c r="D28" s="28" t="inlineStr">
        <is>
          <t>DIPAK R GANDHI</t>
        </is>
      </c>
      <c r="E28" s="39" t="n">
        <v>20500</v>
      </c>
      <c r="F28" s="43" t="n">
        <v>2</v>
      </c>
    </row>
    <row r="29" ht="16" customHeight="1">
      <c r="A29" s="28" t="inlineStr">
        <is>
          <t>External Liability</t>
        </is>
      </c>
      <c r="B29" s="28" t="inlineStr">
        <is>
          <t>Current Liabilities</t>
        </is>
      </c>
      <c r="C29" s="28" t="inlineStr">
        <is>
          <t>CURRENT LIABILITIES A/C</t>
        </is>
      </c>
      <c r="D29" s="28" t="inlineStr">
        <is>
          <t>DIVYABEN BALUBHAI PATEL</t>
        </is>
      </c>
      <c r="E29" s="39" t="n">
        <v>37500</v>
      </c>
      <c r="F29" s="43" t="n">
        <v>2</v>
      </c>
    </row>
    <row r="30" ht="16" customHeight="1">
      <c r="A30" s="28" t="inlineStr">
        <is>
          <t>External Liability</t>
        </is>
      </c>
      <c r="B30" s="28" t="inlineStr">
        <is>
          <t>Current Liabilities</t>
        </is>
      </c>
      <c r="C30" s="28" t="inlineStr">
        <is>
          <t>CURRENT LIABILITIES A/C</t>
        </is>
      </c>
      <c r="D30" s="28" t="inlineStr">
        <is>
          <t>PRIJI KUNJUKRISHNAN EZHAVA</t>
        </is>
      </c>
      <c r="E30" s="39" t="n">
        <v>170000</v>
      </c>
      <c r="F30" s="43" t="n">
        <v>2</v>
      </c>
    </row>
    <row r="31" ht="16" customHeight="1">
      <c r="A31" s="28" t="inlineStr">
        <is>
          <t>External Liability</t>
        </is>
      </c>
      <c r="B31" s="28" t="inlineStr">
        <is>
          <t>Current Liabilities</t>
        </is>
      </c>
      <c r="C31" s="28" t="inlineStr">
        <is>
          <t>CURRENT LIABILITIES A/C</t>
        </is>
      </c>
      <c r="D31" s="28" t="inlineStr">
        <is>
          <t>SAMIR BHIKHUBHAI PATEL</t>
        </is>
      </c>
      <c r="E31" s="39" t="n">
        <v>37500</v>
      </c>
      <c r="F31" s="43" t="n">
        <v>2</v>
      </c>
    </row>
    <row r="32" ht="16" customHeight="1">
      <c r="A32" s="28" t="inlineStr">
        <is>
          <t>External Liability</t>
        </is>
      </c>
      <c r="B32" s="28" t="inlineStr">
        <is>
          <t>Credit Card Dues</t>
        </is>
      </c>
      <c r="C32" s="28" t="inlineStr">
        <is>
          <t>EXPENSE(CAPITAL)A/C</t>
        </is>
      </c>
      <c r="D32" s="28" t="inlineStr">
        <is>
          <t>CREDIT CARD EXP (HDFC)-3988 A/C</t>
        </is>
      </c>
      <c r="E32" s="39" t="n">
        <v>0.37</v>
      </c>
      <c r="F32" s="43" t="n">
        <v>1</v>
      </c>
    </row>
    <row r="33" ht="16" customHeight="1">
      <c r="A33" s="28" t="inlineStr">
        <is>
          <t>External Liability</t>
        </is>
      </c>
      <c r="B33" s="28" t="inlineStr">
        <is>
          <t>Credit Card Dues</t>
        </is>
      </c>
      <c r="C33" s="28" t="inlineStr">
        <is>
          <t>EXPENSE(CAPITAL)A/C</t>
        </is>
      </c>
      <c r="D33" s="28" t="inlineStr">
        <is>
          <t>CREDIT CARD EXP (ICICI)-4005 A/C</t>
        </is>
      </c>
      <c r="E33" s="39" t="n">
        <v>11734</v>
      </c>
      <c r="F33" s="43" t="n">
        <v>1</v>
      </c>
    </row>
    <row r="34" ht="16" customHeight="1">
      <c r="A34" s="28" t="inlineStr">
        <is>
          <t>External Liability</t>
        </is>
      </c>
      <c r="B34" s="28" t="inlineStr">
        <is>
          <t>Other Credit / Contra Balances</t>
        </is>
      </c>
      <c r="C34" s="28" t="inlineStr">
        <is>
          <t>CASH BOOK A/C</t>
        </is>
      </c>
      <c r="D34" s="28" t="inlineStr">
        <is>
          <t>CASH ON HAND</t>
        </is>
      </c>
      <c r="E34" s="39" t="n">
        <v>873485.1899999999</v>
      </c>
      <c r="F34" s="43" t="n">
        <v>1</v>
      </c>
    </row>
    <row r="35" ht="16" customHeight="1">
      <c r="A35" s="28" t="inlineStr">
        <is>
          <t>External Liability</t>
        </is>
      </c>
      <c r="B35" s="28" t="inlineStr">
        <is>
          <t>Other Credit / Contra Balances</t>
        </is>
      </c>
      <c r="C35" s="28" t="inlineStr">
        <is>
          <t>ASSETS A/C</t>
        </is>
      </c>
      <c r="D35" s="28" t="inlineStr">
        <is>
          <t>LAND-PLOT NO.- SISODRA SALES A/C</t>
        </is>
      </c>
      <c r="E35" s="39" t="n">
        <v>150000</v>
      </c>
      <c r="F35" s="43" t="n">
        <v>1</v>
      </c>
    </row>
    <row r="36" ht="16" customHeight="1">
      <c r="A36" s="28" t="inlineStr">
        <is>
          <t>External Liability</t>
        </is>
      </c>
      <c r="B36" s="28" t="inlineStr">
        <is>
          <t>Other Credit / Contra Balances</t>
        </is>
      </c>
      <c r="C36" s="28" t="inlineStr">
        <is>
          <t>INVESTMENT A/C</t>
        </is>
      </c>
      <c r="D36" s="28" t="inlineStr">
        <is>
          <t>ZERODHA BROKING LIMITED NSE</t>
        </is>
      </c>
      <c r="E36" s="39" t="n">
        <v>28.54</v>
      </c>
      <c r="F36" s="43" t="n">
        <v>1</v>
      </c>
    </row>
    <row r="37" ht="16" customHeight="1">
      <c r="A37" s="28" t="inlineStr">
        <is>
          <t>External Liability</t>
        </is>
      </c>
      <c r="B37" s="28" t="inlineStr">
        <is>
          <t>Other Credit / Contra Balances</t>
        </is>
      </c>
      <c r="C37" s="28" t="inlineStr">
        <is>
          <t>SUNDRY DEBTORS/CREDITORS A/C</t>
        </is>
      </c>
      <c r="D37" s="28" t="inlineStr">
        <is>
          <t>ICICI DEMAT A/C</t>
        </is>
      </c>
      <c r="E37" s="39" t="n">
        <v>397949.07</v>
      </c>
      <c r="F37" s="43" t="n">
        <v>1</v>
      </c>
    </row>
    <row r="38" ht="16" customHeight="1">
      <c r="A38" s="44" t="inlineStr">
        <is>
          <t>Equity</t>
        </is>
      </c>
      <c r="B38" s="28" t="inlineStr">
        <is>
          <t>Owner's Capital</t>
        </is>
      </c>
      <c r="C38" s="28" t="inlineStr">
        <is>
          <t>CAPITAL A/C</t>
        </is>
      </c>
      <c r="D38" s="28" t="inlineStr">
        <is>
          <t>VIPULBHAI LALJIBHAI PATEL- CAPITAL A/C</t>
        </is>
      </c>
      <c r="E38" s="39" t="n">
        <v>12453086.52</v>
      </c>
      <c r="F38" s="43" t="n">
        <v>1</v>
      </c>
    </row>
    <row r="39" ht="16" customHeight="1">
      <c r="A39" s="44" t="inlineStr">
        <is>
          <t>Equity</t>
        </is>
      </c>
      <c r="B39" s="28" t="inlineStr">
        <is>
          <t>Reserves &amp; Surplus</t>
        </is>
      </c>
      <c r="C39" s="28" t="inlineStr">
        <is>
          <t>CAPITAL RESERVE AND SURPLUS A/C</t>
        </is>
      </c>
      <c r="D39" s="28" t="inlineStr">
        <is>
          <t>NET PROFIT XFER FROM P/L A/C</t>
        </is>
      </c>
      <c r="E39" s="39" t="n">
        <v>174850.8</v>
      </c>
      <c r="F39" s="43" t="n">
        <v>1</v>
      </c>
    </row>
    <row r="40" ht="16" customHeight="1">
      <c r="A40" s="44" t="inlineStr">
        <is>
          <t>Equity</t>
        </is>
      </c>
      <c r="B40" s="28" t="inlineStr">
        <is>
          <t>Unappropriated Income</t>
        </is>
      </c>
      <c r="C40" s="28" t="inlineStr">
        <is>
          <t>INCOME A/C</t>
        </is>
      </c>
      <c r="D40" s="28" t="inlineStr">
        <is>
          <t>SALARY INCOME A/C</t>
        </is>
      </c>
      <c r="E40" s="39" t="n">
        <v>422400</v>
      </c>
      <c r="F40" s="43" t="n">
        <v>2</v>
      </c>
    </row>
    <row r="41">
      <c r="A41" s="24" t="inlineStr">
        <is>
          <t>TOTAL — LIABILITIES SIDE (as per Balance Sheet)</t>
        </is>
      </c>
      <c r="B41" s="24" t="n"/>
      <c r="C41" s="24" t="n"/>
      <c r="D41" s="24" t="n"/>
      <c r="E41" s="25">
        <f>SUM(E5:E40)</f>
        <v>73901963.5</v>
      </c>
      <c r="F41" s="24" t="n"/>
    </row>
    <row r="42">
      <c r="A42" s="24" t="inlineStr">
        <is>
          <t>of which: EXTERNAL LIABILITIES (deducted from assets)</t>
        </is>
      </c>
      <c r="B42" s="24" t="n"/>
      <c r="C42" s="24" t="n"/>
      <c r="D42" s="24" t="n"/>
      <c r="E42" s="25">
        <f>SUMIF($A$5:$A$40,"External Liability",$E$5:$E$40)</f>
        <v>60851626.1799999997</v>
      </c>
      <c r="F42" s="24" t="n"/>
    </row>
    <row r="43">
      <c r="A43" s="24" t="inlineStr">
        <is>
          <t>of which: EQUITY / NET WORTH (capital, reserves, income)</t>
        </is>
      </c>
      <c r="B43" s="24" t="n"/>
      <c r="C43" s="24" t="n"/>
      <c r="D43" s="24" t="n"/>
      <c r="E43" s="25">
        <f>SUMIF($A$5:$A$40,"Equity",$E$5:$E$40)</f>
        <v>13050337.3200000003</v>
      </c>
      <c r="F43" s="24" t="n"/>
    </row>
    <row r="44">
      <c r="A44" s="24" t="inlineStr">
        <is>
          <t>Check: Total − External − Equity (must be 0.00)</t>
        </is>
      </c>
      <c r="B44" s="24" t="n"/>
      <c r="C44" s="24" t="n"/>
      <c r="D44" s="24" t="n"/>
      <c r="E44" s="25">
        <f>E41-E42-E43</f>
        <v>0</v>
      </c>
      <c r="F44" s="24" t="n"/>
    </row>
    <row r="46" ht="20" customHeight="1">
      <c r="A46" s="34" t="inlineStr">
        <is>
          <t>RECONCILIATION TO THE SOURCE BALANCE SHEET GROUPS</t>
        </is>
      </c>
      <c r="B46" s="35" t="n"/>
      <c r="C46" s="35" t="n"/>
      <c r="D46" s="35" t="n"/>
      <c r="E46" s="35" t="n"/>
      <c r="F46" s="35" t="n"/>
    </row>
    <row r="47" ht="28" customHeight="1">
      <c r="A47" s="12" t="inlineStr">
        <is>
          <t>Source Group</t>
        </is>
      </c>
      <c r="B47" s="12" t="inlineStr">
        <is>
          <t>Group Total (PDF)</t>
        </is>
      </c>
      <c r="C47" s="12" t="inlineStr">
        <is>
          <t>Sum of Lines (above)</t>
        </is>
      </c>
      <c r="D47" s="12" t="inlineStr">
        <is>
          <t>Difference</t>
        </is>
      </c>
      <c r="E47" s="12" t="inlineStr">
        <is>
          <t>Accounts</t>
        </is>
      </c>
      <c r="F47" s="12" t="inlineStr">
        <is>
          <t>Page(s)</t>
        </is>
      </c>
    </row>
    <row r="48">
      <c r="A48" s="28" t="inlineStr">
        <is>
          <t>EXPENSE(CAPITAL)A/C</t>
        </is>
      </c>
      <c r="B48" s="39" t="n">
        <v>11734.37</v>
      </c>
      <c r="C48" s="39">
        <f>SUMIF($C$5:$C$40,A48,$E$5:$E$40)</f>
        <v>11734.37</v>
      </c>
      <c r="D48" s="39">
        <f>C48-B48</f>
        <v>0</v>
      </c>
      <c r="E48" s="43" t="n">
        <v>2</v>
      </c>
      <c r="F48" s="43" t="inlineStr">
        <is>
          <t>1</t>
        </is>
      </c>
    </row>
    <row r="49">
      <c r="A49" s="28" t="inlineStr">
        <is>
          <t>ASSETS A/C</t>
        </is>
      </c>
      <c r="B49" s="39" t="n">
        <v>150000</v>
      </c>
      <c r="C49" s="39">
        <f>SUMIF($C$5:$C$40,A49,$E$5:$E$40)</f>
        <v>150000</v>
      </c>
      <c r="D49" s="39">
        <f>C49-B49</f>
        <v>0</v>
      </c>
      <c r="E49" s="43" t="n">
        <v>1</v>
      </c>
      <c r="F49" s="43" t="inlineStr">
        <is>
          <t>1</t>
        </is>
      </c>
    </row>
    <row r="50">
      <c r="A50" s="28" t="inlineStr">
        <is>
          <t>CAPITAL RESERVE AND SURPLUS A/C</t>
        </is>
      </c>
      <c r="B50" s="39" t="n">
        <v>174850.8</v>
      </c>
      <c r="C50" s="39">
        <f>SUMIF($C$5:$C$40,A50,$E$5:$E$40)</f>
        <v>174850.8</v>
      </c>
      <c r="D50" s="39">
        <f>C50-B50</f>
        <v>0</v>
      </c>
      <c r="E50" s="43" t="n">
        <v>1</v>
      </c>
      <c r="F50" s="43" t="inlineStr">
        <is>
          <t>1</t>
        </is>
      </c>
    </row>
    <row r="51">
      <c r="A51" s="28" t="inlineStr">
        <is>
          <t>INVESTMENT A/C</t>
        </is>
      </c>
      <c r="B51" s="39" t="n">
        <v>28.54</v>
      </c>
      <c r="C51" s="39">
        <f>SUMIF($C$5:$C$40,A51,$E$5:$E$40)</f>
        <v>28.54</v>
      </c>
      <c r="D51" s="39">
        <f>C51-B51</f>
        <v>0</v>
      </c>
      <c r="E51" s="43" t="n">
        <v>1</v>
      </c>
      <c r="F51" s="43" t="inlineStr">
        <is>
          <t>1</t>
        </is>
      </c>
    </row>
    <row r="52">
      <c r="A52" s="28" t="inlineStr">
        <is>
          <t>LOAN &amp; ADVANCES A/C</t>
        </is>
      </c>
      <c r="B52" s="39" t="n">
        <v>54145397.51</v>
      </c>
      <c r="C52" s="39">
        <f>SUMIF($C$5:$C$40,A52,$E$5:$E$40)</f>
        <v>54145397.5099999979</v>
      </c>
      <c r="D52" s="39">
        <f>C52-B52</f>
        <v>0</v>
      </c>
      <c r="E52" s="43" t="n">
        <v>10</v>
      </c>
      <c r="F52" s="43" t="inlineStr">
        <is>
          <t>1</t>
        </is>
      </c>
    </row>
    <row r="53">
      <c r="A53" s="28" t="inlineStr">
        <is>
          <t>SUNDRY DEBTORS/CREDITORS A/C</t>
        </is>
      </c>
      <c r="B53" s="39" t="n">
        <v>397949.07</v>
      </c>
      <c r="C53" s="39">
        <f>SUMIF($C$5:$C$40,A53,$E$5:$E$40)</f>
        <v>397949.07</v>
      </c>
      <c r="D53" s="39">
        <f>C53-B53</f>
        <v>0</v>
      </c>
      <c r="E53" s="43" t="n">
        <v>1</v>
      </c>
      <c r="F53" s="43" t="inlineStr">
        <is>
          <t>1</t>
        </is>
      </c>
    </row>
    <row r="54">
      <c r="A54" s="28" t="inlineStr">
        <is>
          <t>CASH BOOK A/C</t>
        </is>
      </c>
      <c r="B54" s="39" t="n">
        <v>873485.1899999999</v>
      </c>
      <c r="C54" s="39">
        <f>SUMIF($C$5:$C$40,A54,$E$5:$E$40)</f>
        <v>873485.1899999999</v>
      </c>
      <c r="D54" s="39">
        <f>C54-B54</f>
        <v>0</v>
      </c>
      <c r="E54" s="43" t="n">
        <v>1</v>
      </c>
      <c r="F54" s="43" t="inlineStr">
        <is>
          <t>1</t>
        </is>
      </c>
    </row>
    <row r="55">
      <c r="A55" s="28" t="inlineStr">
        <is>
          <t>CAPITAL A/C</t>
        </is>
      </c>
      <c r="B55" s="39" t="n">
        <v>12453086.52</v>
      </c>
      <c r="C55" s="39">
        <f>SUMIF($C$5:$C$40,A55,$E$5:$E$40)</f>
        <v>12453086.5199999996</v>
      </c>
      <c r="D55" s="39">
        <f>C55-B55</f>
        <v>0</v>
      </c>
      <c r="E55" s="43" t="n">
        <v>1</v>
      </c>
      <c r="F55" s="43" t="inlineStr">
        <is>
          <t>1</t>
        </is>
      </c>
    </row>
    <row r="56">
      <c r="A56" s="28" t="inlineStr">
        <is>
          <t>SECURED LOAN A/C</t>
        </is>
      </c>
      <c r="B56" s="39" t="n">
        <v>755798.5</v>
      </c>
      <c r="C56" s="39">
        <f>SUMIF($C$5:$C$40,A56,$E$5:$E$40)</f>
        <v>755798.5</v>
      </c>
      <c r="D56" s="39">
        <f>C56-B56</f>
        <v>0</v>
      </c>
      <c r="E56" s="43" t="n">
        <v>1</v>
      </c>
      <c r="F56" s="43" t="inlineStr">
        <is>
          <t>1</t>
        </is>
      </c>
    </row>
    <row r="57">
      <c r="A57" s="28" t="inlineStr">
        <is>
          <t>UN-SECURED LOAN A/C</t>
        </is>
      </c>
      <c r="B57" s="39" t="n">
        <v>2353034</v>
      </c>
      <c r="C57" s="39">
        <f>SUMIF($C$5:$C$40,A57,$E$5:$E$40)</f>
        <v>2353034</v>
      </c>
      <c r="D57" s="39">
        <f>C57-B57</f>
        <v>0</v>
      </c>
      <c r="E57" s="43" t="n">
        <v>6</v>
      </c>
      <c r="F57" s="43" t="inlineStr">
        <is>
          <t>1</t>
        </is>
      </c>
    </row>
    <row r="58">
      <c r="A58" s="28" t="inlineStr">
        <is>
          <t>SUNDRY CREDITORS/DEBTORS A/C</t>
        </is>
      </c>
      <c r="B58" s="39" t="n">
        <v>1898699</v>
      </c>
      <c r="C58" s="39">
        <f>SUMIF($C$5:$C$40,A58,$E$5:$E$40)</f>
        <v>1898699</v>
      </c>
      <c r="D58" s="39">
        <f>C58-B58</f>
        <v>0</v>
      </c>
      <c r="E58" s="43" t="n">
        <v>6</v>
      </c>
      <c r="F58" s="43" t="inlineStr">
        <is>
          <t>1</t>
        </is>
      </c>
    </row>
    <row r="59">
      <c r="A59" s="28" t="inlineStr">
        <is>
          <t>CURRENT LIABILITIES A/C</t>
        </is>
      </c>
      <c r="B59" s="39" t="n">
        <v>265500</v>
      </c>
      <c r="C59" s="39">
        <f>SUMIF($C$5:$C$40,A59,$E$5:$E$40)</f>
        <v>265500</v>
      </c>
      <c r="D59" s="39">
        <f>C59-B59</f>
        <v>0</v>
      </c>
      <c r="E59" s="43" t="n">
        <v>4</v>
      </c>
      <c r="F59" s="43" t="inlineStr">
        <is>
          <t>2</t>
        </is>
      </c>
    </row>
    <row r="60">
      <c r="A60" s="28" t="inlineStr">
        <is>
          <t>INCOME A/C</t>
        </is>
      </c>
      <c r="B60" s="39" t="n">
        <v>422400</v>
      </c>
      <c r="C60" s="39">
        <f>SUMIF($C$5:$C$40,A60,$E$5:$E$40)</f>
        <v>422400</v>
      </c>
      <c r="D60" s="39">
        <f>C60-B60</f>
        <v>0</v>
      </c>
      <c r="E60" s="43" t="n">
        <v>1</v>
      </c>
      <c r="F60" s="43" t="inlineStr">
        <is>
          <t>2</t>
        </is>
      </c>
    </row>
  </sheetData>
  <autoFilter ref="A4:F40"/>
  <mergeCells count="6">
    <mergeCell ref="A2:F2"/>
    <mergeCell ref="A1:F1"/>
    <mergeCell ref="A43:D43"/>
    <mergeCell ref="A41:D41"/>
    <mergeCell ref="A42:D42"/>
    <mergeCell ref="A44:D44"/>
  </mergeCells>
  <pageMargins left="0.3" right="0.3" top="0.45" bottom="0.4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F8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56" customWidth="1" min="3" max="3"/>
    <col width="20" customWidth="1" min="4" max="4"/>
    <col width="20" customWidth="1" min="5" max="5"/>
    <col width="18" customWidth="1" min="6" max="6"/>
  </cols>
  <sheetData>
    <row r="1" ht="30" customHeight="1">
      <c r="A1" s="32" t="inlineStr">
        <is>
          <t>BALANCE SHEET — FAITHFUL TRANSCRIPT OF THE SOURCE PDF</t>
        </is>
      </c>
      <c r="B1" s="2" t="n"/>
      <c r="C1" s="2" t="n"/>
      <c r="D1" s="2" t="n"/>
      <c r="E1" s="2" t="n"/>
      <c r="F1" s="2" t="n"/>
    </row>
    <row r="2">
      <c r="A2" s="41" t="inlineStr">
        <is>
          <t>VIPULBHAI LALJIBHAI PATEL   |   BALANCE SHEET AS ON : 10/09/2026   |   Source: Vipulbhai BALANCESHEET_1-23102026161349.PDF   |   Account names reproduced as printed (typos included)</t>
        </is>
      </c>
    </row>
    <row r="4" ht="28" customHeight="1">
      <c r="A4" s="12" t="inlineStr">
        <is>
          <t>LIABILITIES — Name of the Accounts</t>
        </is>
      </c>
      <c r="B4" s="12" t="inlineStr">
        <is>
          <t>Amount (₹)</t>
        </is>
      </c>
      <c r="C4" s="12" t="inlineStr">
        <is>
          <t>ASSETS — Name of the Accounts</t>
        </is>
      </c>
      <c r="D4" s="12" t="inlineStr">
        <is>
          <t>Amount (₹)</t>
        </is>
      </c>
      <c r="E4" s="12" t="inlineStr"/>
      <c r="F4" s="12" t="inlineStr"/>
    </row>
    <row r="5" ht="15" customHeight="1">
      <c r="A5" s="45" t="inlineStr">
        <is>
          <t>EXPENSE(CAPITAL)A/C</t>
        </is>
      </c>
      <c r="B5" s="46" t="n">
        <v>11734.37</v>
      </c>
      <c r="C5" s="47" t="inlineStr">
        <is>
          <t>ASSETS A/C</t>
        </is>
      </c>
      <c r="D5" s="48" t="n">
        <v>17075736.77</v>
      </c>
    </row>
    <row r="6" ht="15" customHeight="1">
      <c r="A6" s="28" t="inlineStr">
        <is>
          <t xml:space="preserve">    CREDIT CARD EXP (HDFC)-3988 A/C</t>
        </is>
      </c>
      <c r="B6" s="39" t="n">
        <v>0.37</v>
      </c>
      <c r="C6" s="28" t="inlineStr">
        <is>
          <t xml:space="preserve">    AGRI. LAND PURCHASE(ASTGAM-801)1/4 A/C</t>
        </is>
      </c>
      <c r="D6" s="39" t="n">
        <v>198825</v>
      </c>
    </row>
    <row r="7" ht="15" customHeight="1">
      <c r="A7" s="28" t="inlineStr">
        <is>
          <t xml:space="preserve">    CREDIT CARD EXP (ICICI)-4005 A/C</t>
        </is>
      </c>
      <c r="B7" s="39" t="n">
        <v>11734</v>
      </c>
      <c r="C7" s="28" t="inlineStr">
        <is>
          <t xml:space="preserve">    AGRI. LAND PURCHASE(ASTGAM-827)1/4 A/C</t>
        </is>
      </c>
      <c r="D7" s="39" t="n">
        <v>278250</v>
      </c>
    </row>
    <row r="8" ht="15" customHeight="1">
      <c r="A8" s="45" t="inlineStr">
        <is>
          <t>ASSETS A/C</t>
        </is>
      </c>
      <c r="B8" s="46" t="n">
        <v>150000</v>
      </c>
      <c r="C8" s="28" t="inlineStr">
        <is>
          <t xml:space="preserve">    AGRI. LAND PURCHASE(ASTGAM-830)1/4 A/C</t>
        </is>
      </c>
      <c r="D8" s="39" t="n">
        <v>662125</v>
      </c>
    </row>
    <row r="9" ht="15" customHeight="1">
      <c r="A9" s="28" t="inlineStr">
        <is>
          <t xml:space="preserve">    LAND-PLOT NO.- SISODRA SALES A/C</t>
        </is>
      </c>
      <c r="B9" s="39" t="n">
        <v>150000</v>
      </c>
      <c r="C9" s="28" t="inlineStr">
        <is>
          <t xml:space="preserve">    AGRI. LAND PURCHASE(BAMANIYA-179/1)1/2 A/C</t>
        </is>
      </c>
      <c r="D9" s="39" t="n">
        <v>404000</v>
      </c>
    </row>
    <row r="10" ht="15" customHeight="1">
      <c r="A10" s="45" t="inlineStr">
        <is>
          <t>CAPITAL RESERVE AND SURPLUS A/C</t>
        </is>
      </c>
      <c r="B10" s="46" t="n">
        <v>174850.8</v>
      </c>
      <c r="C10" s="28" t="inlineStr">
        <is>
          <t xml:space="preserve">    AKSHAR AUTO ELECTRIC</t>
        </is>
      </c>
      <c r="D10" s="39" t="n">
        <v>330355.87</v>
      </c>
    </row>
    <row r="11" ht="15" customHeight="1">
      <c r="A11" s="28" t="inlineStr">
        <is>
          <t xml:space="preserve">    NET PROFIT XFER FROM P/L A/C</t>
        </is>
      </c>
      <c r="B11" s="39" t="n">
        <v>174850.8</v>
      </c>
      <c r="C11" s="28" t="inlineStr">
        <is>
          <t xml:space="preserve">    GOLD ORNAMENTS</t>
        </is>
      </c>
      <c r="D11" s="39" t="n">
        <v>8788</v>
      </c>
    </row>
    <row r="12" ht="15" customHeight="1">
      <c r="A12" s="45" t="inlineStr">
        <is>
          <t>INVESTMENT A/C</t>
        </is>
      </c>
      <c r="B12" s="46" t="n">
        <v>28.54</v>
      </c>
      <c r="C12" s="28" t="inlineStr">
        <is>
          <t xml:space="preserve">    GSPC GAS</t>
        </is>
      </c>
      <c r="D12" s="39" t="n">
        <v>5000</v>
      </c>
    </row>
    <row r="13" ht="15" customHeight="1">
      <c r="A13" s="28" t="inlineStr">
        <is>
          <t xml:space="preserve">    ZERODHA BROKING LIMITED NSE</t>
        </is>
      </c>
      <c r="B13" s="39" t="n">
        <v>28.54</v>
      </c>
      <c r="C13" s="28" t="inlineStr">
        <is>
          <t xml:space="preserve">    LAND PLOT NO 43- LAKEVIEW RESIDENCY A/C</t>
        </is>
      </c>
      <c r="D13" s="39" t="n">
        <v>134150</v>
      </c>
    </row>
    <row r="14" ht="15" customHeight="1">
      <c r="A14" s="45" t="inlineStr">
        <is>
          <t>LOAN &amp; ADVANCES A/C</t>
        </is>
      </c>
      <c r="B14" s="46" t="n">
        <v>54145397.51</v>
      </c>
      <c r="C14" s="28" t="inlineStr">
        <is>
          <t xml:space="preserve">    LAND-PLOT NO.- SACHIN PURCHASE A/C</t>
        </is>
      </c>
      <c r="D14" s="39" t="n">
        <v>6960455.9</v>
      </c>
    </row>
    <row r="15" ht="15" customHeight="1">
      <c r="A15" s="28" t="inlineStr">
        <is>
          <t xml:space="preserve">    AKSHAR DIESELS-NAVSARI</t>
        </is>
      </c>
      <c r="B15" s="39" t="n">
        <v>6855754</v>
      </c>
      <c r="C15" s="28" t="inlineStr">
        <is>
          <t xml:space="preserve">    RESI.PROPERTY CONSTRUCTION</t>
        </is>
      </c>
      <c r="D15" s="39" t="n">
        <v>7696700</v>
      </c>
    </row>
    <row r="16" ht="15" customHeight="1">
      <c r="A16" s="28" t="inlineStr">
        <is>
          <t xml:space="preserve">    ANAND JESWANI/ANAND HARI GOVIND</t>
        </is>
      </c>
      <c r="B16" s="39" t="n">
        <v>10500000</v>
      </c>
      <c r="C16" s="28" t="inlineStr">
        <is>
          <t xml:space="preserve">    RESI.PROPERTY SUMANGAL</t>
        </is>
      </c>
      <c r="D16" s="39" t="n">
        <v>347087</v>
      </c>
    </row>
    <row r="17" ht="15" customHeight="1">
      <c r="A17" s="28" t="inlineStr">
        <is>
          <t xml:space="preserve">    BABU BAVANAJI KANARA</t>
        </is>
      </c>
      <c r="B17" s="39" t="n">
        <v>100000</v>
      </c>
      <c r="C17" s="28" t="inlineStr">
        <is>
          <t xml:space="preserve">    SHOP RENT DEPOSIT</t>
        </is>
      </c>
      <c r="D17" s="39" t="n">
        <v>50000</v>
      </c>
    </row>
    <row r="18" ht="15" customHeight="1">
      <c r="A18" s="28" t="inlineStr">
        <is>
          <t xml:space="preserve">    JALPABEN VIPULBHAI PATEL</t>
        </is>
      </c>
      <c r="B18" s="39" t="n">
        <v>4537126.5</v>
      </c>
      <c r="C18" s="47" t="inlineStr">
        <is>
          <t>INVESTMENT A/C</t>
        </is>
      </c>
      <c r="D18" s="48" t="n">
        <v>6742939.15</v>
      </c>
    </row>
    <row r="19" ht="15" customHeight="1">
      <c r="A19" s="28" t="inlineStr">
        <is>
          <t xml:space="preserve">    LALJIBHAI G KHATRA</t>
        </is>
      </c>
      <c r="B19" s="39" t="n">
        <v>9724517.01</v>
      </c>
      <c r="C19" s="28" t="inlineStr">
        <is>
          <t xml:space="preserve">    BARODA PIONEER M FUND-15034352</t>
        </is>
      </c>
      <c r="D19" s="39" t="n">
        <v>72000</v>
      </c>
    </row>
    <row r="20" ht="15" customHeight="1">
      <c r="A20" s="28" t="inlineStr">
        <is>
          <t xml:space="preserve">    PARESHBHAI MAVJIBHAI PATEL</t>
        </is>
      </c>
      <c r="B20" s="39" t="n">
        <v>5000000</v>
      </c>
      <c r="C20" s="28" t="inlineStr">
        <is>
          <t xml:space="preserve">    DIESEL WORLD E SHARE</t>
        </is>
      </c>
      <c r="D20" s="39" t="n">
        <v>23000</v>
      </c>
    </row>
    <row r="21" ht="15" customHeight="1">
      <c r="A21" s="28" t="inlineStr">
        <is>
          <t xml:space="preserve">    RAMANIKBHAI GOBARBHAI THUMMAR</t>
        </is>
      </c>
      <c r="B21" s="39" t="n">
        <v>3000000</v>
      </c>
      <c r="C21" s="28" t="inlineStr">
        <is>
          <t xml:space="preserve">    DRIVE TRUSCKING SHARE</t>
        </is>
      </c>
      <c r="D21" s="39" t="n">
        <v>25000</v>
      </c>
    </row>
    <row r="22" ht="15" customHeight="1">
      <c r="A22" s="28" t="inlineStr">
        <is>
          <t xml:space="preserve">    RAMNIKLAL RANCHHODBHAI RANK</t>
        </is>
      </c>
      <c r="B22" s="39" t="n">
        <v>1928000</v>
      </c>
      <c r="C22" s="28" t="inlineStr">
        <is>
          <t xml:space="preserve">    FINVOLVE ANGEL TRUST</t>
        </is>
      </c>
      <c r="D22" s="39" t="n">
        <v>1000050</v>
      </c>
    </row>
    <row r="23" ht="15" customHeight="1">
      <c r="A23" s="28" t="inlineStr">
        <is>
          <t xml:space="preserve">    SHREE SHALU MOTORS</t>
        </is>
      </c>
      <c r="B23" s="39" t="n">
        <v>2500000</v>
      </c>
      <c r="C23" s="28" t="inlineStr">
        <is>
          <t xml:space="preserve">    ICICI BANK F.D.(704813000008)A/C</t>
        </is>
      </c>
      <c r="D23" s="39" t="n">
        <v>54799</v>
      </c>
    </row>
    <row r="24" ht="15" customHeight="1">
      <c r="A24" s="28" t="inlineStr">
        <is>
          <t xml:space="preserve">    TRUSHAR DHARMESHBHAI SORATHIYA</t>
        </is>
      </c>
      <c r="B24" s="39" t="n">
        <v>10000000</v>
      </c>
      <c r="C24" s="28" t="inlineStr">
        <is>
          <t xml:space="preserve">    ICICI SHARE TRADING A/C</t>
        </is>
      </c>
      <c r="D24" s="39" t="n">
        <v>336965.15</v>
      </c>
    </row>
    <row r="25" ht="15" customHeight="1">
      <c r="A25" s="45" t="inlineStr">
        <is>
          <t>SUNDRY DEBTORS/CREDITORS A/C</t>
        </is>
      </c>
      <c r="B25" s="46" t="n">
        <v>397949.07</v>
      </c>
      <c r="C25" s="28" t="inlineStr">
        <is>
          <t xml:space="preserve">    MF-DSP MULTICAP FUND REG(G)-9454104/03</t>
        </is>
      </c>
      <c r="D25" s="39" t="n">
        <v>500000</v>
      </c>
    </row>
    <row r="26" ht="15" customHeight="1">
      <c r="A26" s="28" t="inlineStr">
        <is>
          <t xml:space="preserve">    ICICI DEMAT A/C</t>
        </is>
      </c>
      <c r="B26" s="39" t="n">
        <v>397949.07</v>
      </c>
      <c r="C26" s="28" t="inlineStr">
        <is>
          <t xml:space="preserve">    MF-FINVOLVE ADVISORS LLP</t>
        </is>
      </c>
      <c r="D26" s="39" t="n">
        <v>501125</v>
      </c>
    </row>
    <row r="27" ht="15" customHeight="1">
      <c r="A27" s="45" t="inlineStr">
        <is>
          <t>CASH BOOK A/C</t>
        </is>
      </c>
      <c r="B27" s="46" t="n">
        <v>873485.1899999999</v>
      </c>
      <c r="C27" s="28" t="inlineStr">
        <is>
          <t xml:space="preserve">    MF-ICICI PRU RETIREMENT FUND PURE-35335758</t>
        </is>
      </c>
      <c r="D27" s="39" t="n">
        <v>500000</v>
      </c>
    </row>
    <row r="28" ht="15" customHeight="1">
      <c r="A28" s="28" t="inlineStr">
        <is>
          <t xml:space="preserve">    CASH ON HAND</t>
        </is>
      </c>
      <c r="B28" s="39" t="n">
        <v>873485.1899999999</v>
      </c>
      <c r="C28" s="28" t="inlineStr">
        <is>
          <t xml:space="preserve">    MF-ITI LARGE &amp; MID CAP FUND REG(G)-3106333655</t>
        </is>
      </c>
      <c r="D28" s="39" t="n">
        <v>2000000</v>
      </c>
    </row>
    <row r="29" ht="15" customHeight="1">
      <c r="A29" s="45" t="inlineStr">
        <is>
          <t>CAPITAL A/C</t>
        </is>
      </c>
      <c r="B29" s="46" t="n">
        <v>12453086.52</v>
      </c>
      <c r="C29" s="28" t="inlineStr">
        <is>
          <t xml:space="preserve">    MF-JM SMALL CAP FUND REG(G)-77716223664</t>
        </is>
      </c>
      <c r="D29" s="39" t="n">
        <v>500000</v>
      </c>
    </row>
    <row r="30" ht="15" customHeight="1">
      <c r="A30" s="28" t="inlineStr">
        <is>
          <t xml:space="preserve">    VIPULBHAI LALJIBHAI PATEL- CAPITAL A/C</t>
        </is>
      </c>
      <c r="B30" s="39" t="n">
        <v>12453086.52</v>
      </c>
      <c r="C30" s="28" t="inlineStr">
        <is>
          <t xml:space="preserve">    MF-RELIANCE INFRA</t>
        </is>
      </c>
      <c r="D30" s="39" t="n">
        <v>5000</v>
      </c>
    </row>
    <row r="31" ht="15" customHeight="1">
      <c r="A31" s="45" t="inlineStr">
        <is>
          <t>SECURED LOAN A/C</t>
        </is>
      </c>
      <c r="B31" s="46" t="n">
        <v>755798.5</v>
      </c>
      <c r="C31" s="28" t="inlineStr">
        <is>
          <t xml:space="preserve">    MF-TATA BUSINESS CYCLE FUND REG(G)-11809850/88</t>
        </is>
      </c>
      <c r="D31" s="39" t="n">
        <v>500000</v>
      </c>
    </row>
    <row r="32" ht="15" customHeight="1">
      <c r="A32" s="28" t="inlineStr">
        <is>
          <t xml:space="preserve">    BOB HOUSIONG LOAN</t>
        </is>
      </c>
      <c r="B32" s="39" t="n">
        <v>755798.5</v>
      </c>
      <c r="C32" s="28" t="inlineStr">
        <is>
          <t xml:space="preserve">    MF-UNION INNOVATION &amp; OPPORTUNITIES-10995417</t>
        </is>
      </c>
      <c r="D32" s="39" t="n">
        <v>500000</v>
      </c>
    </row>
    <row r="33" ht="15" customHeight="1">
      <c r="A33" s="45" t="inlineStr">
        <is>
          <t>UN-SECURED LOAN A/C</t>
        </is>
      </c>
      <c r="B33" s="46" t="n">
        <v>2353034</v>
      </c>
      <c r="C33" s="28" t="inlineStr">
        <is>
          <t xml:space="preserve">    SIP-ICICI PRUD.MF(10000/-)A/C-(24864594)</t>
        </is>
      </c>
      <c r="D33" s="39" t="n">
        <v>180000</v>
      </c>
    </row>
    <row r="34" ht="15" customHeight="1">
      <c r="A34" s="28" t="inlineStr">
        <is>
          <t xml:space="preserve">    ASHIRWAD FABRICS</t>
        </is>
      </c>
      <c r="B34" s="39" t="n">
        <v>500000</v>
      </c>
      <c r="C34" s="28" t="inlineStr">
        <is>
          <t xml:space="preserve">    SIP-ICICI PRUD.MF(5000/-)A/C-OLD</t>
        </is>
      </c>
      <c r="D34" s="39" t="n">
        <v>45000</v>
      </c>
    </row>
    <row r="35" ht="15" customHeight="1">
      <c r="A35" s="28" t="inlineStr">
        <is>
          <t xml:space="preserve">    BHAGVANJIBHAI PATEL</t>
        </is>
      </c>
      <c r="B35" s="39" t="n">
        <v>293034</v>
      </c>
      <c r="C35" s="47" t="inlineStr">
        <is>
          <t>LOAN &amp; ADVANCES A/C</t>
        </is>
      </c>
      <c r="D35" s="48" t="n">
        <v>47828472.18</v>
      </c>
    </row>
    <row r="36" ht="15" customHeight="1">
      <c r="A36" s="28" t="inlineStr">
        <is>
          <t xml:space="preserve">    KASHMIRA FEBRICS</t>
        </is>
      </c>
      <c r="B36" s="39" t="n">
        <v>500000</v>
      </c>
      <c r="C36" s="28" t="inlineStr">
        <is>
          <t xml:space="preserve">    BHAVIN BHAGWANJI VACHHANI</t>
        </is>
      </c>
      <c r="D36" s="39" t="n">
        <v>250000</v>
      </c>
    </row>
    <row r="37" ht="15" customHeight="1">
      <c r="A37" s="28" t="inlineStr">
        <is>
          <t xml:space="preserve">    LALJI MEGHJI VAGHASIA</t>
        </is>
      </c>
      <c r="B37" s="39" t="n">
        <v>200000</v>
      </c>
      <c r="C37" s="28" t="inlineStr">
        <is>
          <t xml:space="preserve">    DEEPAK SHUKLA</t>
        </is>
      </c>
      <c r="D37" s="39" t="n">
        <v>100000</v>
      </c>
    </row>
    <row r="38" ht="15" customHeight="1">
      <c r="A38" s="28" t="inlineStr">
        <is>
          <t xml:space="preserve">    MANSHUKHBHAI R VIRANI</t>
        </is>
      </c>
      <c r="B38" s="39" t="n">
        <v>700000</v>
      </c>
      <c r="C38" s="28" t="inlineStr">
        <is>
          <t xml:space="preserve">    DIPAN SHAH</t>
        </is>
      </c>
      <c r="D38" s="39" t="n">
        <v>27000</v>
      </c>
    </row>
    <row r="39" ht="15" customHeight="1">
      <c r="A39" s="28" t="inlineStr">
        <is>
          <t xml:space="preserve">    RASILABEN LALJIBHAI PATEL - MOTHER</t>
        </is>
      </c>
      <c r="B39" s="39" t="n">
        <v>160000</v>
      </c>
      <c r="C39" s="28" t="inlineStr">
        <is>
          <t xml:space="preserve">    DRIV TRUKING</t>
        </is>
      </c>
      <c r="D39" s="39" t="n">
        <v>40259259</v>
      </c>
    </row>
    <row r="40" ht="15" customHeight="1">
      <c r="A40" s="45" t="inlineStr">
        <is>
          <t>SUNDRY CREDITORS/DEBTORS A/C</t>
        </is>
      </c>
      <c r="B40" s="46" t="n">
        <v>1898699</v>
      </c>
      <c r="C40" s="28" t="inlineStr">
        <is>
          <t xml:space="preserve">    ECO TURBO</t>
        </is>
      </c>
      <c r="D40" s="39" t="n">
        <v>3521851.18</v>
      </c>
    </row>
    <row r="41" ht="15" customHeight="1">
      <c r="A41" s="28" t="inlineStr">
        <is>
          <t xml:space="preserve">    AKSHAR DIESEL CR. A/C</t>
        </is>
      </c>
      <c r="B41" s="39" t="n">
        <v>536479</v>
      </c>
      <c r="C41" s="28" t="inlineStr">
        <is>
          <t xml:space="preserve">    H.T.DIESELS</t>
        </is>
      </c>
      <c r="D41" s="39" t="n">
        <v>1770362</v>
      </c>
    </row>
    <row r="42" ht="15" customHeight="1">
      <c r="A42" s="28" t="inlineStr">
        <is>
          <t xml:space="preserve">    EURO DIESEL SERVICES</t>
        </is>
      </c>
      <c r="B42" s="39" t="n">
        <v>918751</v>
      </c>
      <c r="C42" s="28" t="inlineStr">
        <is>
          <t xml:space="preserve">    MUKTABEN SHANTILAL SAKARIYA (LOAN)</t>
        </is>
      </c>
      <c r="D42" s="39" t="n">
        <v>500000</v>
      </c>
    </row>
    <row r="43" ht="15" customHeight="1">
      <c r="A43" s="28" t="inlineStr">
        <is>
          <t xml:space="preserve">    QINGDIO QTTO WORLD IMP</t>
        </is>
      </c>
      <c r="B43" s="39" t="n">
        <v>11640</v>
      </c>
      <c r="C43" s="28" t="inlineStr">
        <is>
          <t xml:space="preserve">    PRAMUKH CREATION</t>
        </is>
      </c>
      <c r="D43" s="39" t="n">
        <v>1000000</v>
      </c>
    </row>
    <row r="44" ht="15" customHeight="1">
      <c r="A44" s="28" t="inlineStr">
        <is>
          <t xml:space="preserve">    SAI AUTOMATION</t>
        </is>
      </c>
      <c r="B44" s="39" t="n">
        <v>15001</v>
      </c>
      <c r="C44" s="28" t="inlineStr">
        <is>
          <t xml:space="preserve">    RINKESH R NAIK</t>
        </is>
      </c>
      <c r="D44" s="39" t="n">
        <v>250000</v>
      </c>
    </row>
    <row r="45" ht="15" customHeight="1">
      <c r="A45" s="28" t="inlineStr">
        <is>
          <t xml:space="preserve">    SHIVAM TYRE &amp; BATTERY CENTRE</t>
        </is>
      </c>
      <c r="B45" s="39" t="n">
        <v>16450</v>
      </c>
      <c r="C45" s="28" t="inlineStr">
        <is>
          <t xml:space="preserve">    THAY TECHWORKS PVT LTD</t>
        </is>
      </c>
      <c r="D45" s="39" t="n">
        <v>150000</v>
      </c>
    </row>
    <row r="46" ht="15" customHeight="1">
      <c r="A46" s="28" t="inlineStr">
        <is>
          <t xml:space="preserve">    TEKNIK DIESEL</t>
        </is>
      </c>
      <c r="B46" s="39" t="n">
        <v>400378</v>
      </c>
      <c r="C46" s="47" t="inlineStr">
        <is>
          <t>SUNDRY DEBTORS/CREDITORS A/C</t>
        </is>
      </c>
      <c r="D46" s="48" t="n">
        <v>176938</v>
      </c>
    </row>
    <row r="47" ht="15" customHeight="1">
      <c r="A47" s="45" t="inlineStr">
        <is>
          <t>CURRENT LIABILITIES A/C</t>
        </is>
      </c>
      <c r="B47" s="46" t="n">
        <v>265500</v>
      </c>
      <c r="C47" s="28" t="inlineStr">
        <is>
          <t xml:space="preserve">    DIESEL WORLD PRIVATE LIMITED (SALARY) A/C</t>
        </is>
      </c>
      <c r="D47" s="39" t="n">
        <v>176938</v>
      </c>
    </row>
    <row r="48" ht="15" customHeight="1">
      <c r="A48" s="28" t="inlineStr">
        <is>
          <t xml:space="preserve">    DIPAK R GANDHI</t>
        </is>
      </c>
      <c r="B48" s="39" t="n">
        <v>20500</v>
      </c>
      <c r="C48" s="47" t="inlineStr">
        <is>
          <t>DEPOSIT A/C</t>
        </is>
      </c>
      <c r="D48" s="48" t="n">
        <v>108809.52</v>
      </c>
    </row>
    <row r="49" ht="15" customHeight="1">
      <c r="A49" s="28" t="inlineStr">
        <is>
          <t xml:space="preserve">    DIVYABEN BALUBHAI PATEL</t>
        </is>
      </c>
      <c r="B49" s="39" t="n">
        <v>37500</v>
      </c>
      <c r="C49" s="28" t="inlineStr">
        <is>
          <t xml:space="preserve">    DGVCL DEPOSIT</t>
        </is>
      </c>
      <c r="D49" s="39" t="n">
        <v>108809.52</v>
      </c>
    </row>
    <row r="50" ht="15" customHeight="1">
      <c r="A50" s="28" t="inlineStr">
        <is>
          <t xml:space="preserve">    PRIJI KUNJUKRISHNAN EZHAVA</t>
        </is>
      </c>
      <c r="B50" s="39" t="n">
        <v>170000</v>
      </c>
      <c r="C50" s="47" t="inlineStr">
        <is>
          <t>BANK BOOK A/C</t>
        </is>
      </c>
      <c r="D50" s="48" t="n">
        <v>1718067.88</v>
      </c>
    </row>
    <row r="51" ht="15" customHeight="1">
      <c r="A51" s="28" t="inlineStr">
        <is>
          <t xml:space="preserve">    SAMIR BHIKHUBHAI PATEL</t>
        </is>
      </c>
      <c r="B51" s="39" t="n">
        <v>37500</v>
      </c>
      <c r="C51" s="28" t="inlineStr">
        <is>
          <t xml:space="preserve">    BOB BANK SB-06000100003185(KALIAWADI)</t>
        </is>
      </c>
      <c r="D51" s="39" t="n">
        <v>77819.78999999999</v>
      </c>
    </row>
    <row r="52" ht="15" customHeight="1">
      <c r="A52" s="45" t="inlineStr">
        <is>
          <t>INCOME A/C</t>
        </is>
      </c>
      <c r="B52" s="46" t="n">
        <v>422400</v>
      </c>
      <c r="C52" s="28" t="inlineStr">
        <is>
          <t xml:space="preserve">    HDFC BANK SB -50100282780877</t>
        </is>
      </c>
      <c r="D52" s="39" t="n">
        <v>16333.12</v>
      </c>
    </row>
    <row r="53" ht="15" customHeight="1">
      <c r="A53" s="28" t="inlineStr">
        <is>
          <t xml:space="preserve">    SALARY INCOME A/C</t>
        </is>
      </c>
      <c r="B53" s="39" t="n">
        <v>422400</v>
      </c>
      <c r="C53" s="28" t="inlineStr">
        <is>
          <t xml:space="preserve">    ICICI BANK SB-704801500015 (LO)</t>
        </is>
      </c>
      <c r="D53" s="39" t="n">
        <v>17415</v>
      </c>
    </row>
    <row r="54" ht="15" customHeight="1">
      <c r="C54" s="28" t="inlineStr">
        <is>
          <t xml:space="preserve">    ICICI BANK SB-777701047155</t>
        </is>
      </c>
      <c r="D54" s="39" t="n">
        <v>1406145.97</v>
      </c>
    </row>
    <row r="55" ht="15" customHeight="1">
      <c r="C55" s="28" t="inlineStr">
        <is>
          <t xml:space="preserve">    ICICI BANK(YOG V PATEL-SB-777701057255)A/C</t>
        </is>
      </c>
      <c r="D55" s="39" t="n">
        <v>200354</v>
      </c>
    </row>
    <row r="56" ht="15" customHeight="1">
      <c r="C56" s="47" t="inlineStr">
        <is>
          <t>UN-SECURED LOAN A/C</t>
        </is>
      </c>
      <c r="D56" s="48" t="n">
        <v>50000</v>
      </c>
    </row>
    <row r="57" ht="15" customHeight="1">
      <c r="C57" s="28" t="inlineStr">
        <is>
          <t xml:space="preserve">    TECHNO</t>
        </is>
      </c>
      <c r="D57" s="39" t="n">
        <v>50000</v>
      </c>
    </row>
    <row r="58" ht="15" customHeight="1">
      <c r="C58" s="47" t="inlineStr">
        <is>
          <t>PROVISION A/C</t>
        </is>
      </c>
      <c r="D58" s="48" t="n">
        <v>201000</v>
      </c>
    </row>
    <row r="59" ht="15" customHeight="1">
      <c r="C59" s="28" t="inlineStr">
        <is>
          <t xml:space="preserve">    PROFESSIONAL TAX A/C</t>
        </is>
      </c>
      <c r="D59" s="39" t="n">
        <v>1000</v>
      </c>
    </row>
    <row r="60" ht="15" customHeight="1">
      <c r="C60" s="28" t="inlineStr">
        <is>
          <t xml:space="preserve">    T.D.S. A/C</t>
        </is>
      </c>
      <c r="D60" s="39" t="n">
        <v>200000</v>
      </c>
    </row>
    <row r="61" ht="20" customHeight="1">
      <c r="A61" s="49" t="inlineStr">
        <is>
          <t>T O T A L :</t>
        </is>
      </c>
      <c r="B61" s="50" t="n">
        <v>73901963.5</v>
      </c>
      <c r="C61" s="49" t="inlineStr">
        <is>
          <t>T O T A L :</t>
        </is>
      </c>
      <c r="D61" s="50" t="n">
        <v>73901963.5</v>
      </c>
      <c r="E61" s="51" t="n"/>
      <c r="F61" s="51" t="n"/>
    </row>
    <row r="62">
      <c r="A62" s="24" t="inlineStr">
        <is>
          <t>Sum of group totals (recomputed)</t>
        </is>
      </c>
      <c r="B62" s="25">
        <f>B5+B8+B10+B12+B14+B25+B27+B29+B31+B33+B40+B47+B52</f>
        <v>73901963.5</v>
      </c>
      <c r="C62" s="24" t="inlineStr">
        <is>
          <t>Sum of group totals (recomputed)</t>
        </is>
      </c>
      <c r="D62" s="25">
        <f>D5+D18+D35+D46+D48+D50+D56+D58</f>
        <v>73901963.5</v>
      </c>
    </row>
    <row r="63">
      <c r="A63" s="29" t="inlineStr">
        <is>
          <t>Difference vs printed total (must be 0.00)</t>
        </is>
      </c>
      <c r="B63" s="21">
        <f>B62-B61</f>
        <v>0</v>
      </c>
      <c r="C63" s="29" t="inlineStr">
        <is>
          <t>Difference vs printed total (must be 0.00)</t>
        </is>
      </c>
      <c r="D63" s="21">
        <f>D62-D61</f>
        <v>0</v>
      </c>
    </row>
    <row r="65" ht="20" customHeight="1">
      <c r="A65" s="34" t="inlineStr">
        <is>
          <t>FULL GROUP-BY-GROUP VALIDATION  (printed total vs sum of account lines)</t>
        </is>
      </c>
      <c r="B65" s="35" t="n"/>
      <c r="C65" s="35" t="n"/>
      <c r="D65" s="35" t="n"/>
      <c r="E65" s="35" t="n"/>
      <c r="F65" s="35" t="n"/>
    </row>
    <row r="66" ht="28" customHeight="1">
      <c r="A66" s="12" t="inlineStr">
        <is>
          <t>Side</t>
        </is>
      </c>
      <c r="B66" s="12" t="inlineStr">
        <is>
          <t>Group / Account Head</t>
        </is>
      </c>
      <c r="C66" s="12" t="inlineStr">
        <is>
          <t>Printed Group Total</t>
        </is>
      </c>
      <c r="D66" s="12" t="inlineStr">
        <is>
          <t>Sum of Account Lines</t>
        </is>
      </c>
      <c r="E66" s="12" t="inlineStr">
        <is>
          <t>Difference</t>
        </is>
      </c>
      <c r="F66" s="12" t="inlineStr">
        <is>
          <t>Page(s)</t>
        </is>
      </c>
    </row>
    <row r="67">
      <c r="A67" s="28" t="inlineStr">
        <is>
          <t>Liabilities</t>
        </is>
      </c>
      <c r="B67" s="28" t="inlineStr">
        <is>
          <t>EXPENSE(CAPITAL)A/C</t>
        </is>
      </c>
      <c r="C67" s="39" t="n">
        <v>11734.37</v>
      </c>
      <c r="D67" s="39" t="n">
        <v>11734.37</v>
      </c>
      <c r="E67" s="39" t="n">
        <v>0</v>
      </c>
      <c r="F67" s="43" t="inlineStr">
        <is>
          <t>1</t>
        </is>
      </c>
    </row>
    <row r="68">
      <c r="A68" s="28" t="inlineStr">
        <is>
          <t>Liabilities</t>
        </is>
      </c>
      <c r="B68" s="28" t="inlineStr">
        <is>
          <t>ASSETS A/C</t>
        </is>
      </c>
      <c r="C68" s="39" t="n">
        <v>150000</v>
      </c>
      <c r="D68" s="39" t="n">
        <v>150000</v>
      </c>
      <c r="E68" s="39" t="n">
        <v>0</v>
      </c>
      <c r="F68" s="43" t="inlineStr">
        <is>
          <t>1</t>
        </is>
      </c>
    </row>
    <row r="69">
      <c r="A69" s="28" t="inlineStr">
        <is>
          <t>Liabilities</t>
        </is>
      </c>
      <c r="B69" s="28" t="inlineStr">
        <is>
          <t>CAPITAL RESERVE AND SURPLUS A/C</t>
        </is>
      </c>
      <c r="C69" s="39" t="n">
        <v>174850.8</v>
      </c>
      <c r="D69" s="39" t="n">
        <v>174850.8</v>
      </c>
      <c r="E69" s="39" t="n">
        <v>0</v>
      </c>
      <c r="F69" s="43" t="inlineStr">
        <is>
          <t>1</t>
        </is>
      </c>
    </row>
    <row r="70">
      <c r="A70" s="28" t="inlineStr">
        <is>
          <t>Liabilities</t>
        </is>
      </c>
      <c r="B70" s="28" t="inlineStr">
        <is>
          <t>INVESTMENT A/C</t>
        </is>
      </c>
      <c r="C70" s="39" t="n">
        <v>28.54</v>
      </c>
      <c r="D70" s="39" t="n">
        <v>28.54</v>
      </c>
      <c r="E70" s="39" t="n">
        <v>0</v>
      </c>
      <c r="F70" s="43" t="inlineStr">
        <is>
          <t>1</t>
        </is>
      </c>
    </row>
    <row r="71">
      <c r="A71" s="28" t="inlineStr">
        <is>
          <t>Liabilities</t>
        </is>
      </c>
      <c r="B71" s="28" t="inlineStr">
        <is>
          <t>LOAN &amp; ADVANCES A/C</t>
        </is>
      </c>
      <c r="C71" s="39" t="n">
        <v>54145397.51</v>
      </c>
      <c r="D71" s="39" t="n">
        <v>54145397.51</v>
      </c>
      <c r="E71" s="39" t="n">
        <v>0</v>
      </c>
      <c r="F71" s="43" t="inlineStr">
        <is>
          <t>1</t>
        </is>
      </c>
    </row>
    <row r="72">
      <c r="A72" s="28" t="inlineStr">
        <is>
          <t>Liabilities</t>
        </is>
      </c>
      <c r="B72" s="28" t="inlineStr">
        <is>
          <t>SUNDRY DEBTORS/CREDITORS A/C</t>
        </is>
      </c>
      <c r="C72" s="39" t="n">
        <v>397949.07</v>
      </c>
      <c r="D72" s="39" t="n">
        <v>397949.07</v>
      </c>
      <c r="E72" s="39" t="n">
        <v>0</v>
      </c>
      <c r="F72" s="43" t="inlineStr">
        <is>
          <t>1</t>
        </is>
      </c>
    </row>
    <row r="73">
      <c r="A73" s="28" t="inlineStr">
        <is>
          <t>Liabilities</t>
        </is>
      </c>
      <c r="B73" s="28" t="inlineStr">
        <is>
          <t>CASH BOOK A/C</t>
        </is>
      </c>
      <c r="C73" s="39" t="n">
        <v>873485.1899999999</v>
      </c>
      <c r="D73" s="39" t="n">
        <v>873485.1899999999</v>
      </c>
      <c r="E73" s="39" t="n">
        <v>0</v>
      </c>
      <c r="F73" s="43" t="inlineStr">
        <is>
          <t>1</t>
        </is>
      </c>
    </row>
    <row r="74">
      <c r="A74" s="28" t="inlineStr">
        <is>
          <t>Liabilities</t>
        </is>
      </c>
      <c r="B74" s="28" t="inlineStr">
        <is>
          <t>CAPITAL A/C</t>
        </is>
      </c>
      <c r="C74" s="39" t="n">
        <v>12453086.52</v>
      </c>
      <c r="D74" s="39" t="n">
        <v>12453086.52</v>
      </c>
      <c r="E74" s="39" t="n">
        <v>0</v>
      </c>
      <c r="F74" s="43" t="inlineStr">
        <is>
          <t>1</t>
        </is>
      </c>
    </row>
    <row r="75">
      <c r="A75" s="28" t="inlineStr">
        <is>
          <t>Liabilities</t>
        </is>
      </c>
      <c r="B75" s="28" t="inlineStr">
        <is>
          <t>SECURED LOAN A/C</t>
        </is>
      </c>
      <c r="C75" s="39" t="n">
        <v>755798.5</v>
      </c>
      <c r="D75" s="39" t="n">
        <v>755798.5</v>
      </c>
      <c r="E75" s="39" t="n">
        <v>0</v>
      </c>
      <c r="F75" s="43" t="inlineStr">
        <is>
          <t>1</t>
        </is>
      </c>
    </row>
    <row r="76">
      <c r="A76" s="28" t="inlineStr">
        <is>
          <t>Liabilities</t>
        </is>
      </c>
      <c r="B76" s="28" t="inlineStr">
        <is>
          <t>UN-SECURED LOAN A/C</t>
        </is>
      </c>
      <c r="C76" s="39" t="n">
        <v>2353034</v>
      </c>
      <c r="D76" s="39" t="n">
        <v>2353034</v>
      </c>
      <c r="E76" s="39" t="n">
        <v>0</v>
      </c>
      <c r="F76" s="43" t="inlineStr">
        <is>
          <t>1</t>
        </is>
      </c>
    </row>
    <row r="77">
      <c r="A77" s="28" t="inlineStr">
        <is>
          <t>Liabilities</t>
        </is>
      </c>
      <c r="B77" s="28" t="inlineStr">
        <is>
          <t>SUNDRY CREDITORS/DEBTORS A/C</t>
        </is>
      </c>
      <c r="C77" s="39" t="n">
        <v>1898699</v>
      </c>
      <c r="D77" s="39" t="n">
        <v>1898699</v>
      </c>
      <c r="E77" s="39" t="n">
        <v>0</v>
      </c>
      <c r="F77" s="43" t="inlineStr">
        <is>
          <t>1</t>
        </is>
      </c>
    </row>
    <row r="78">
      <c r="A78" s="28" t="inlineStr">
        <is>
          <t>Assets</t>
        </is>
      </c>
      <c r="B78" s="28" t="inlineStr">
        <is>
          <t>ASSETS A/C</t>
        </is>
      </c>
      <c r="C78" s="39" t="n">
        <v>17075736.77</v>
      </c>
      <c r="D78" s="39" t="n">
        <v>17075736.77</v>
      </c>
      <c r="E78" s="39" t="n">
        <v>0</v>
      </c>
      <c r="F78" s="43" t="inlineStr">
        <is>
          <t>1</t>
        </is>
      </c>
    </row>
    <row r="79">
      <c r="A79" s="28" t="inlineStr">
        <is>
          <t>Assets</t>
        </is>
      </c>
      <c r="B79" s="28" t="inlineStr">
        <is>
          <t>INVESTMENT A/C</t>
        </is>
      </c>
      <c r="C79" s="39" t="n">
        <v>6742939.15</v>
      </c>
      <c r="D79" s="39" t="n">
        <v>6742939.15</v>
      </c>
      <c r="E79" s="39" t="n">
        <v>0</v>
      </c>
      <c r="F79" s="43" t="inlineStr">
        <is>
          <t>1</t>
        </is>
      </c>
    </row>
    <row r="80">
      <c r="A80" s="28" t="inlineStr">
        <is>
          <t>Assets</t>
        </is>
      </c>
      <c r="B80" s="28" t="inlineStr">
        <is>
          <t>LOAN &amp; ADVANCES A/C</t>
        </is>
      </c>
      <c r="C80" s="39" t="n">
        <v>47828472.18</v>
      </c>
      <c r="D80" s="39" t="n">
        <v>47828472.18</v>
      </c>
      <c r="E80" s="39" t="n">
        <v>0</v>
      </c>
      <c r="F80" s="43" t="inlineStr">
        <is>
          <t>1, 2</t>
        </is>
      </c>
    </row>
    <row r="81">
      <c r="A81" s="28" t="inlineStr">
        <is>
          <t>Liabilities</t>
        </is>
      </c>
      <c r="B81" s="28" t="inlineStr">
        <is>
          <t>CURRENT LIABILITIES A/C</t>
        </is>
      </c>
      <c r="C81" s="39" t="n">
        <v>265500</v>
      </c>
      <c r="D81" s="39" t="n">
        <v>265500</v>
      </c>
      <c r="E81" s="39" t="n">
        <v>0</v>
      </c>
      <c r="F81" s="43" t="inlineStr">
        <is>
          <t>2</t>
        </is>
      </c>
    </row>
    <row r="82">
      <c r="A82" s="28" t="inlineStr">
        <is>
          <t>Liabilities</t>
        </is>
      </c>
      <c r="B82" s="28" t="inlineStr">
        <is>
          <t>INCOME A/C</t>
        </is>
      </c>
      <c r="C82" s="39" t="n">
        <v>422400</v>
      </c>
      <c r="D82" s="39" t="n">
        <v>422400</v>
      </c>
      <c r="E82" s="39" t="n">
        <v>0</v>
      </c>
      <c r="F82" s="43" t="inlineStr">
        <is>
          <t>2</t>
        </is>
      </c>
    </row>
    <row r="83">
      <c r="A83" s="28" t="inlineStr">
        <is>
          <t>Assets</t>
        </is>
      </c>
      <c r="B83" s="28" t="inlineStr">
        <is>
          <t>SUNDRY DEBTORS/CREDITORS A/C</t>
        </is>
      </c>
      <c r="C83" s="39" t="n">
        <v>176938</v>
      </c>
      <c r="D83" s="39" t="n">
        <v>176938</v>
      </c>
      <c r="E83" s="39" t="n">
        <v>0</v>
      </c>
      <c r="F83" s="43" t="inlineStr">
        <is>
          <t>2</t>
        </is>
      </c>
    </row>
    <row r="84">
      <c r="A84" s="28" t="inlineStr">
        <is>
          <t>Assets</t>
        </is>
      </c>
      <c r="B84" s="28" t="inlineStr">
        <is>
          <t>DEPOSIT A/C</t>
        </is>
      </c>
      <c r="C84" s="39" t="n">
        <v>108809.52</v>
      </c>
      <c r="D84" s="39" t="n">
        <v>108809.52</v>
      </c>
      <c r="E84" s="39" t="n">
        <v>0</v>
      </c>
      <c r="F84" s="43" t="inlineStr">
        <is>
          <t>2</t>
        </is>
      </c>
    </row>
    <row r="85">
      <c r="A85" s="28" t="inlineStr">
        <is>
          <t>Assets</t>
        </is>
      </c>
      <c r="B85" s="28" t="inlineStr">
        <is>
          <t>BANK BOOK A/C</t>
        </is>
      </c>
      <c r="C85" s="39" t="n">
        <v>1718067.88</v>
      </c>
      <c r="D85" s="39" t="n">
        <v>1718067.88</v>
      </c>
      <c r="E85" s="39" t="n">
        <v>0</v>
      </c>
      <c r="F85" s="43" t="inlineStr">
        <is>
          <t>2</t>
        </is>
      </c>
    </row>
    <row r="86">
      <c r="A86" s="28" t="inlineStr">
        <is>
          <t>Assets</t>
        </is>
      </c>
      <c r="B86" s="28" t="inlineStr">
        <is>
          <t>UN-SECURED LOAN A/C</t>
        </is>
      </c>
      <c r="C86" s="39" t="n">
        <v>50000</v>
      </c>
      <c r="D86" s="39" t="n">
        <v>50000</v>
      </c>
      <c r="E86" s="39" t="n">
        <v>0</v>
      </c>
      <c r="F86" s="43" t="inlineStr">
        <is>
          <t>2</t>
        </is>
      </c>
    </row>
    <row r="87">
      <c r="A87" s="28" t="inlineStr">
        <is>
          <t>Assets</t>
        </is>
      </c>
      <c r="B87" s="28" t="inlineStr">
        <is>
          <t>PROVISION A/C</t>
        </is>
      </c>
      <c r="C87" s="39" t="n">
        <v>201000</v>
      </c>
      <c r="D87" s="39" t="n">
        <v>201000</v>
      </c>
      <c r="E87" s="39" t="n">
        <v>0</v>
      </c>
      <c r="F87" s="43" t="inlineStr">
        <is>
          <t>2</t>
        </is>
      </c>
    </row>
  </sheetData>
  <mergeCells count="2">
    <mergeCell ref="A2:F2"/>
    <mergeCell ref="A1:F1"/>
  </mergeCells>
  <pageMargins left="0.3" right="0.3" top="0.45" bottom="0.4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H67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32" t="inlineStr">
        <is>
          <t>NOTES, METHOD &amp; DATA QUALITY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3" t="inlineStr">
        <is>
          <t>Net Worth Report — VIPULBHAI LALJIBHAI PATEL — as on 10/09/2026</t>
        </is>
      </c>
    </row>
    <row r="4" ht="20" customHeight="1">
      <c r="A4" s="34" t="inlineStr">
        <is>
          <t>1.  PURPOSE &amp; DEFINITION</t>
        </is>
      </c>
      <c r="B4" s="35" t="n"/>
      <c r="C4" s="35" t="n"/>
      <c r="D4" s="35" t="n"/>
      <c r="E4" s="35" t="n"/>
      <c r="F4" s="35" t="n"/>
      <c r="G4" s="35" t="n"/>
      <c r="H4" s="35" t="n"/>
    </row>
    <row r="5" ht="15" customHeight="1">
      <c r="A5" s="40" t="inlineStr">
        <is>
          <t>This workbook converts the two-page Balance Sheet PDF into an Excel net worth statement with detailed schedules.</t>
        </is>
      </c>
    </row>
    <row r="6" ht="15" customHeight="1">
      <c r="A6" s="40" t="inlineStr">
        <is>
          <t>Net Worth = Total Assets − Total External Liabilities.  It is cross-checked against the owner's equity accounts.</t>
        </is>
      </c>
    </row>
    <row r="7" ht="15" customHeight="1">
      <c r="A7" s="40" t="inlineStr">
        <is>
          <t>Result: Total Assets ₹ 7,39,01,963.50  −  External Liabilities ₹ 6,08,51,626.18  =  Net Worth ₹ 1,30,50,337.32.</t>
        </is>
      </c>
    </row>
    <row r="9" ht="20" customHeight="1">
      <c r="A9" s="34" t="inlineStr">
        <is>
          <t>2.  SOURCE DATA</t>
        </is>
      </c>
      <c r="B9" s="35" t="n"/>
      <c r="C9" s="35" t="n"/>
      <c r="D9" s="35" t="n"/>
      <c r="E9" s="35" t="n"/>
      <c r="F9" s="35" t="n"/>
      <c r="G9" s="35" t="n"/>
      <c r="H9" s="35" t="n"/>
    </row>
    <row r="10" ht="30" customHeight="1">
      <c r="A10" s="40" t="inlineStr">
        <is>
          <t>Source file: Vipulbhai BALANCESHEET_1-23102026161349.PDF — 'BALANCE SHEET AS ON : 10/09/2026' for VIPULBHAI LALJIBHAI PATEL (Oracle Reports PDF, 2 pages).</t>
        </is>
      </c>
    </row>
    <row r="11" ht="15" customHeight="1">
      <c r="A11" s="40" t="inlineStr">
        <is>
          <t>Printed grand total: Liabilities ₹ 7,39,01,963.50 / Assets ₹ 7,39,01,963.50 (both sides agree).</t>
        </is>
      </c>
    </row>
    <row r="12" ht="15" customHeight="1">
      <c r="A12" s="40" t="inlineStr">
        <is>
          <t>Parsed: 21 account groups, 84 account lines. All amounts are in INR (₹).</t>
        </is>
      </c>
    </row>
    <row r="13" ht="15" customHeight="1">
      <c r="A13" s="40" t="inlineStr">
        <is>
          <t>Account names, spellings and abbreviations are reproduced exactly as printed in the source.</t>
        </is>
      </c>
    </row>
    <row r="15" ht="20" customHeight="1">
      <c r="A15" s="34" t="inlineStr">
        <is>
          <t>3.  CLASSIFICATION RULES</t>
        </is>
      </c>
      <c r="B15" s="35" t="n"/>
      <c r="C15" s="35" t="n"/>
      <c r="D15" s="35" t="n"/>
      <c r="E15" s="35" t="n"/>
      <c r="F15" s="35" t="n"/>
      <c r="G15" s="35" t="n"/>
      <c r="H15" s="35" t="n"/>
    </row>
    <row r="16" ht="15" customHeight="1">
      <c r="A16" s="40" t="inlineStr">
        <is>
          <t>Assets — all groups printed on the right-hand ASSETS side of the Balance Sheet, split into 8 asset classes.</t>
        </is>
      </c>
    </row>
    <row r="17" ht="15" customHeight="1">
      <c r="A17" s="40" t="inlineStr">
        <is>
          <t xml:space="preserve">   • Land &amp; Property: agricultural land, plots, residential property construction; Gold &amp; Valuables; Vehicles.</t>
        </is>
      </c>
    </row>
    <row r="18" ht="30" customHeight="1">
      <c r="A18" s="40" t="inlineStr">
        <is>
          <t xml:space="preserve">   • Investments: mutual funds, shares, share-trading account; Deposits &amp; Fixed Deposits: bank FD, gas/rent/electricity deposits.</t>
        </is>
      </c>
    </row>
    <row r="19" ht="30" customHeight="1">
      <c r="A19" s="40" t="inlineStr">
        <is>
          <t xml:space="preserve">   • Loans &amp; Advances Given: all loan/advance debit balances; Receivables &amp; Tax Recoverable: sundry debtor and TDS/professional tax balances.</t>
        </is>
      </c>
    </row>
    <row r="20" ht="15" customHeight="1">
      <c r="A20" s="40" t="inlineStr">
        <is>
          <t xml:space="preserve">   • Cash &amp; Bank Balances: all five savings/current bank accounts.</t>
        </is>
      </c>
    </row>
    <row r="21" ht="15" customHeight="1">
      <c r="A21" s="40" t="inlineStr">
        <is>
          <t>External Liabilities — all groups on the left-hand LIABILITIES side EXCEPT the three equity accounts below.</t>
        </is>
      </c>
    </row>
    <row r="22" ht="15" customHeight="1">
      <c r="A22" s="40" t="inlineStr">
        <is>
          <t>Equity (excluded from debt) — CAPITAL A/C, CAPITAL RESERVE AND SURPLUS A/C and INCOME A/C (salary income not yet</t>
        </is>
      </c>
    </row>
    <row r="23" ht="15" customHeight="1">
      <c r="A23" s="40" t="inlineStr">
        <is>
          <t xml:space="preserve">   transferred to P&amp;L). These three balances together equal the net worth computed as Assets − Liabilities.</t>
        </is>
      </c>
    </row>
    <row r="24" ht="15" customHeight="1">
      <c r="A24" s="40" t="inlineStr">
        <is>
          <t>Conservative treatment: credit balances of asset-natured heads appearing on the liabilities side (ASSETS A/C,</t>
        </is>
      </c>
    </row>
    <row r="25" ht="15" customHeight="1">
      <c r="A25" s="40" t="inlineStr">
        <is>
          <t xml:space="preserve">   INVESTMENT A/C, SUNDRY DEBTORS/CREDITORS A/C, CASH BOOK A/C) are reported as 'Other Credit / Contra Balances'.</t>
        </is>
      </c>
    </row>
    <row r="26" ht="15" customHeight="1">
      <c r="A26" s="40" t="inlineStr">
        <is>
          <t xml:space="preserve">   Treating them as negative assets instead would change gross Assets/Liabilities but NOT the net worth figure.</t>
        </is>
      </c>
    </row>
    <row r="28" ht="20" customHeight="1">
      <c r="A28" s="34" t="inlineStr">
        <is>
          <t>4.  DATA QUALITY NOTES (SOURCE QUIRKS)</t>
        </is>
      </c>
      <c r="B28" s="35" t="n"/>
      <c r="C28" s="35" t="n"/>
      <c r="D28" s="35" t="n"/>
      <c r="E28" s="35" t="n"/>
      <c r="F28" s="35" t="n"/>
      <c r="G28" s="35" t="n"/>
      <c r="H28" s="35" t="n"/>
    </row>
    <row r="29" ht="15" customHeight="1">
      <c r="A29" s="40" t="inlineStr">
        <is>
          <t>• The credit-card line 'CREDIT CARD EXP (HDFC)-3988 A/C' is printed as '.37' (no leading zero); read as ₹ 0.37.</t>
        </is>
      </c>
    </row>
    <row r="30" ht="15" customHeight="1">
      <c r="A30" s="40" t="inlineStr">
        <is>
          <t xml:space="preserve">   Its two lines (0.37 + 11,734.00) reconcile to the group 'EXPENSE(CAPITAL)A/C' total of 11,734.37.</t>
        </is>
      </c>
    </row>
    <row r="31" ht="15" customHeight="1">
      <c r="A31" s="40" t="inlineStr">
        <is>
          <t>• The Assets-side group 'LOAN &amp; ADVANCES A/C' (₹ 4,78,28,472.18) is printed on BOTH pages; the repeated heading</t>
        </is>
      </c>
    </row>
    <row r="32" ht="15" customHeight="1">
      <c r="A32" s="40" t="inlineStr">
        <is>
          <t xml:space="preserve">   was merged and its 10 account lines combined (3 lines from page 1, 7 from page 2).</t>
        </is>
      </c>
    </row>
    <row r="33" ht="15" customHeight="1">
      <c r="A33" s="40" t="inlineStr">
        <is>
          <t>• Multi-line account names (e.g. 'AGRI. LAND PURCHASE(ASTGAM-801)1/4 A/C') were rejoined without adding</t>
        </is>
      </c>
    </row>
    <row r="34" ht="15" customHeight="1">
      <c r="A34" s="40" t="inlineStr">
        <is>
          <t xml:space="preserve">   spaces where the PDF used a hyphen as a line break.</t>
        </is>
      </c>
    </row>
    <row r="35" ht="15" customHeight="1">
      <c r="A35" s="40" t="inlineStr">
        <is>
          <t>• Obvious source spellings such as 'BOB HOUSIONG LOAN', 'DRIV TRUKING', 'KASHMIRA FEBRICS' and</t>
        </is>
      </c>
    </row>
    <row r="36" ht="15" customHeight="1">
      <c r="A36" s="40" t="inlineStr">
        <is>
          <t xml:space="preserve">   'DRIVE TRUSCKING SHARE' are preserved verbatim for traceability.</t>
        </is>
      </c>
    </row>
    <row r="37" ht="15" customHeight="1">
      <c r="A37" s="40" t="inlineStr">
        <is>
          <t>• 'INCOME A/C' (Salary Income ₹ 4,22,400.00) is a nominal account still open on the Balance Sheet; it is</t>
        </is>
      </c>
    </row>
    <row r="38" ht="15" customHeight="1">
      <c r="A38" s="40" t="inlineStr">
        <is>
          <t xml:space="preserve">   included in net worth. Book capital excluding it is shown as a memo item on 'Net Worth Calculation'.</t>
        </is>
      </c>
    </row>
    <row r="39" ht="15" customHeight="1">
      <c r="A39" s="40" t="inlineStr">
        <is>
          <t>• The 'as on' date is reproduced verbatim as 10/09/2026; the PDF does not state whether it is dd/mm or mm/dd.</t>
        </is>
      </c>
    </row>
    <row r="40" ht="15" customHeight="1">
      <c r="A40" s="40" t="inlineStr">
        <is>
          <t xml:space="preserve">   The source filename contains 23102026, which appears to be the print/export date, not the 'as on' date.</t>
        </is>
      </c>
    </row>
    <row r="42" ht="20" customHeight="1">
      <c r="A42" s="34" t="inlineStr">
        <is>
          <t>5.  VALIDATION PERFORMED</t>
        </is>
      </c>
      <c r="B42" s="35" t="n"/>
      <c r="C42" s="35" t="n"/>
      <c r="D42" s="35" t="n"/>
      <c r="E42" s="35" t="n"/>
      <c r="F42" s="35" t="n"/>
      <c r="G42" s="35" t="n"/>
      <c r="H42" s="35" t="n"/>
    </row>
    <row r="43" ht="15" customHeight="1">
      <c r="A43" s="40" t="inlineStr">
        <is>
          <t>• Every one of the 21 groups: sum of its account lines = printed group total (difference 0.00).</t>
        </is>
      </c>
    </row>
    <row r="44" ht="15" customHeight="1">
      <c r="A44" s="40" t="inlineStr">
        <is>
          <t>• Sum of all group totals on each side = printed grand total ₹ 7,39,01,963.50.</t>
        </is>
      </c>
    </row>
    <row r="45" ht="15" customHeight="1">
      <c r="A45" s="40" t="inlineStr">
        <is>
          <t>• Assets − External Liabilities = Capital + Reserves + Income (difference 0.00).</t>
        </is>
      </c>
    </row>
    <row r="46" ht="15" customHeight="1">
      <c r="A46" s="40" t="inlineStr">
        <is>
          <t>• See 'Balance Sheet (Source)' for the group-by-group validation table and the full two-column transcript.</t>
        </is>
      </c>
    </row>
    <row r="48" ht="20" customHeight="1">
      <c r="A48" s="34" t="inlineStr">
        <is>
          <t>6.  LIMITATIONS &amp; DISCLAIMER</t>
        </is>
      </c>
      <c r="B48" s="35" t="n"/>
      <c r="C48" s="35" t="n"/>
      <c r="D48" s="35" t="n"/>
      <c r="E48" s="35" t="n"/>
      <c r="F48" s="35" t="n"/>
      <c r="G48" s="35" t="n"/>
      <c r="H48" s="35" t="n"/>
    </row>
    <row r="49" ht="15" customHeight="1">
      <c r="A49" s="40" t="inlineStr">
        <is>
          <t>• Figures are BOOK VALUES from the source Balance Sheet, not current market valuations of land, property, gold,</t>
        </is>
      </c>
    </row>
    <row r="50" ht="15" customHeight="1">
      <c r="A50" s="40" t="inlineStr">
        <is>
          <t xml:space="preserve">   shares or mutual funds. Recoverability of loans/advances and receivables has not been assessed.</t>
        </is>
      </c>
    </row>
    <row r="51" ht="15" customHeight="1">
      <c r="A51" s="40" t="inlineStr">
        <is>
          <t>• Classification into asset/liability classes is an analytical view prepared for this report; the grouping in the</t>
        </is>
      </c>
    </row>
    <row r="52" ht="15" customHeight="1">
      <c r="A52" s="40" t="inlineStr">
        <is>
          <t xml:space="preserve">   source Balance Sheet is authoritative for accounting purposes.</t>
        </is>
      </c>
    </row>
    <row r="53" ht="15" customHeight="1">
      <c r="A53" s="40" t="inlineStr">
        <is>
          <t>• This is an information worksheet, not an audited financial statement, valuation report or tax/legal advice.</t>
        </is>
      </c>
    </row>
    <row r="54" ht="15" customHeight="1">
      <c r="A54" s="40" t="inlineStr">
        <is>
          <t xml:space="preserve">   Please have it reviewed by a qualified accountant before submitting it to a bank, lender or authority.</t>
        </is>
      </c>
    </row>
    <row r="56" ht="20" customHeight="1">
      <c r="A56" s="34" t="inlineStr">
        <is>
          <t>7.  HOW TO REGENERATE</t>
        </is>
      </c>
      <c r="B56" s="35" t="n"/>
      <c r="C56" s="35" t="n"/>
      <c r="D56" s="35" t="n"/>
      <c r="E56" s="35" t="n"/>
      <c r="F56" s="35" t="n"/>
      <c r="G56" s="35" t="n"/>
      <c r="H56" s="35" t="n"/>
    </row>
    <row r="57" ht="15" customHeight="1">
      <c r="A57" s="40" t="inlineStr">
        <is>
          <t>• Run:  python3 -m pip install -r requirements.txt  &amp;&amp;  python3 generate_networth_report.py</t>
        </is>
      </c>
    </row>
    <row r="58" ht="15" customHeight="1">
      <c r="A58" s="40" t="inlineStr">
        <is>
          <t>• The script re-parses the PDF, re-runs every reconciliation check and rebuilds this workbook from scratch.</t>
        </is>
      </c>
    </row>
    <row r="61" ht="20" customHeight="1">
      <c r="A61" s="34" t="inlineStr">
        <is>
          <t>SHEET GUIDE</t>
        </is>
      </c>
      <c r="B61" s="35" t="n"/>
      <c r="C61" s="35" t="n"/>
      <c r="D61" s="35" t="n"/>
      <c r="E61" s="35" t="n"/>
      <c r="F61" s="35" t="n"/>
      <c r="G61" s="35" t="n"/>
      <c r="H61" s="35" t="n"/>
    </row>
    <row r="62">
      <c r="A62" s="10" t="inlineStr">
        <is>
          <t>Net Worth Summary</t>
        </is>
      </c>
    </row>
    <row r="63">
      <c r="A63" s="10" t="inlineStr">
        <is>
          <t>Net Worth Calculation</t>
        </is>
      </c>
    </row>
    <row r="64">
      <c r="A64" s="10" t="inlineStr">
        <is>
          <t>Assets Detail</t>
        </is>
      </c>
    </row>
    <row r="65">
      <c r="A65" s="10" t="inlineStr">
        <is>
          <t>Liabilities Detail</t>
        </is>
      </c>
    </row>
    <row r="66">
      <c r="A66" s="10" t="inlineStr">
        <is>
          <t>Balance Sheet (Source)</t>
        </is>
      </c>
    </row>
    <row r="67">
      <c r="A67" s="10" t="inlineStr">
        <is>
          <t>Notes &amp; Method</t>
        </is>
      </c>
    </row>
  </sheetData>
  <mergeCells count="50">
    <mergeCell ref="A30:H30"/>
    <mergeCell ref="A39:H39"/>
    <mergeCell ref="A66:C66"/>
    <mergeCell ref="A24:H24"/>
    <mergeCell ref="A51:H51"/>
    <mergeCell ref="A36:H36"/>
    <mergeCell ref="A11:H11"/>
    <mergeCell ref="A49:H49"/>
    <mergeCell ref="A1:H1"/>
    <mergeCell ref="A45:H45"/>
    <mergeCell ref="A6:H6"/>
    <mergeCell ref="A7:H7"/>
    <mergeCell ref="A25:H25"/>
    <mergeCell ref="A16:H16"/>
    <mergeCell ref="A54:H54"/>
    <mergeCell ref="A62:C62"/>
    <mergeCell ref="A37:H37"/>
    <mergeCell ref="A46:H46"/>
    <mergeCell ref="A12:H12"/>
    <mergeCell ref="A18:H18"/>
    <mergeCell ref="A50:H50"/>
    <mergeCell ref="A26:H26"/>
    <mergeCell ref="A21:H21"/>
    <mergeCell ref="A63:C63"/>
    <mergeCell ref="A57:H57"/>
    <mergeCell ref="A2:H2"/>
    <mergeCell ref="A67:C67"/>
    <mergeCell ref="A33:H33"/>
    <mergeCell ref="A5:H5"/>
    <mergeCell ref="A23:H23"/>
    <mergeCell ref="A32:H32"/>
    <mergeCell ref="A22:H22"/>
    <mergeCell ref="A17:H17"/>
    <mergeCell ref="A40:H40"/>
    <mergeCell ref="A64:C64"/>
    <mergeCell ref="A53:H53"/>
    <mergeCell ref="A29:H29"/>
    <mergeCell ref="A35:H35"/>
    <mergeCell ref="A20:H20"/>
    <mergeCell ref="A38:H38"/>
    <mergeCell ref="A43:H43"/>
    <mergeCell ref="A52:H52"/>
    <mergeCell ref="A10:H10"/>
    <mergeCell ref="A13:H13"/>
    <mergeCell ref="A19:H19"/>
    <mergeCell ref="A44:H44"/>
    <mergeCell ref="A65:C65"/>
    <mergeCell ref="A31:H31"/>
    <mergeCell ref="A58:H58"/>
    <mergeCell ref="A34:H34"/>
  </mergeCells>
  <hyperlinks>
    <hyperlink ref="A62" location="'Net Worth Summary'!A1" tooltip="Net Worth Summary"/>
    <hyperlink ref="A63" location="'Net Worth Calculation'!A1" tooltip="Net Worth Calculation"/>
    <hyperlink ref="A64" location="'Assets Detail'!A1" tooltip="Assets Detail"/>
    <hyperlink ref="A65" location="'Liabilities Detail'!A1" tooltip="Liabilities Detail"/>
    <hyperlink ref="A66" location="'Balance Sheet (Source)'!A1" tooltip="Balance Sheet (Source)"/>
    <hyperlink ref="A67" location="'Notes &amp; Method'!A1" tooltip="Notes &amp; Method"/>
  </hyperlinks>
  <pageMargins left="0.3" right="0.3" top="0.45" bottom="0.4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generate_networth_report.py</dc:creator>
  <dc:title>Net Worth Report — VIPULBHAI LALJIBHAI PATEL</dc:title>
  <dc:description>Total Assets 7,39,01,963.50; External Liabilities 6,08,51,626.18; Net Worth 1,30,50,337.32 INR.</dc:description>
  <dc:subject>Net worth statement as on 10/09/2026 from Balance Sheet PDF</dc:subject>
  <dcterms:created xsi:type="dcterms:W3CDTF">2026-10-27T10:00:50Z</dcterms:created>
  <dcterms:modified xsi:type="dcterms:W3CDTF">2026-10-27T10:00:50Z</dcterms:modified>
</cp:coreProperties>
</file>